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" sheetId="1" r:id="rId5"/>
    <sheet state="visible" name="Coverage" sheetId="2" r:id="rId6"/>
    <sheet state="visible" name="_TC" sheetId="3" r:id="rId7"/>
    <sheet state="visible" name="TC_Result_Report" sheetId="4" r:id="rId8"/>
  </sheets>
  <definedNames>
    <definedName name="Pass">#REF!</definedName>
  </definedNames>
  <calcPr/>
</workbook>
</file>

<file path=xl/sharedStrings.xml><?xml version="1.0" encoding="utf-8"?>
<sst xmlns="http://schemas.openxmlformats.org/spreadsheetml/2006/main" count="199" uniqueCount="150">
  <si>
    <t>[SC-SYS-NAS-002] NAS 신규 등록 테스트 커버리지</t>
  </si>
  <si>
    <t>XXX Project__ Test Plan</t>
  </si>
  <si>
    <t>1. 설계서 요구사항별 검증 항목</t>
  </si>
  <si>
    <t>설계서 No.</t>
  </si>
  <si>
    <t>Count</t>
  </si>
  <si>
    <t>구분 (Category)</t>
  </si>
  <si>
    <t>검증 기법</t>
  </si>
  <si>
    <t>테스트 목적 (Test Objective)</t>
  </si>
  <si>
    <t>확인 사항 (Checklist)</t>
  </si>
  <si>
    <t>기대 결과 (Expected Result)</t>
  </si>
  <si>
    <t>커버 TC NO</t>
  </si>
  <si>
    <t>케이스 수</t>
  </si>
  <si>
    <t>기획 확인 및 질문 (QA Clarification)</t>
  </si>
  <si>
    <t>Progress</t>
  </si>
  <si>
    <t>_TC</t>
  </si>
  <si>
    <t>Test URL</t>
  </si>
  <si>
    <t>Total Case</t>
  </si>
  <si>
    <t>Revision History</t>
  </si>
  <si>
    <t>4. Schedule</t>
  </si>
  <si>
    <t>버전</t>
  </si>
  <si>
    <t>날짜</t>
  </si>
  <si>
    <t>담당자</t>
  </si>
  <si>
    <t>설명</t>
  </si>
  <si>
    <t>단계</t>
  </si>
  <si>
    <t>작업내용</t>
  </si>
  <si>
    <t>시작일</t>
  </si>
  <si>
    <t>Pass</t>
  </si>
  <si>
    <t>종료일</t>
  </si>
  <si>
    <t>v0.1</t>
  </si>
  <si>
    <t>ㅌㅌㅌ</t>
  </si>
  <si>
    <t>최초작성</t>
  </si>
  <si>
    <t>기대 결과와 같음</t>
  </si>
  <si>
    <t>테스트 준비</t>
  </si>
  <si>
    <t>합계</t>
  </si>
  <si>
    <t>Test Plan 작성</t>
  </si>
  <si>
    <t>Fail</t>
  </si>
  <si>
    <t>— 중복 포함</t>
  </si>
  <si>
    <t>ddd</t>
  </si>
  <si>
    <t>기대 결과와 다름</t>
  </si>
  <si>
    <t>N/A</t>
  </si>
  <si>
    <t>Test Case 작성</t>
  </si>
  <si>
    <t>2. 예외케이스 (탐색적 테스트)</t>
  </si>
  <si>
    <t>NO</t>
  </si>
  <si>
    <t>구분</t>
  </si>
  <si>
    <t>상황 (Case)</t>
  </si>
  <si>
    <t>확인 방법</t>
  </si>
  <si>
    <t>예상되는 리스크</t>
  </si>
  <si>
    <t>기대 동작</t>
  </si>
  <si>
    <t>관련 TC</t>
  </si>
  <si>
    <t>우선순위</t>
  </si>
  <si>
    <t>QA 질문</t>
  </si>
  <si>
    <t>N/A(Not Available)</t>
  </si>
  <si>
    <t>선행 기능의 결함,기능 미구현, 테스트 환경 등으로 테스트 진행 불가</t>
  </si>
  <si>
    <t>N/T</t>
  </si>
  <si>
    <t>테스트 수행</t>
  </si>
  <si>
    <t>테스트 서버</t>
  </si>
  <si>
    <t>N/T(Not Test)</t>
  </si>
  <si>
    <t>테스트 안함</t>
  </si>
  <si>
    <t>Debugging Report 작성</t>
  </si>
  <si>
    <t>1. Summary</t>
  </si>
  <si>
    <t>오픈</t>
  </si>
  <si>
    <t>3. 리스크 케이스 우선순위 (NAS 제품 기준)</t>
  </si>
  <si>
    <t>오픈 모니터링</t>
  </si>
  <si>
    <t>대분류</t>
  </si>
  <si>
    <t>중분류</t>
  </si>
  <si>
    <t>NAS 등록 기능은 "AI가 NAS 안의 파일을 안전하게 탐색·접근할 수 있는 연결 통로"를 만드는 기능이다. 이 본질을 깨뜨릴 수 있는 항목을 3가지 리스크 유형으로 분류했다. TC 시트의 NO 컬럼이 빨간색으로 표시된 케이스가 리스크 항목이다.</t>
  </si>
  <si>
    <t>소분류</t>
  </si>
  <si>
    <t>테스트 조건</t>
  </si>
  <si>
    <t>실행 순서</t>
  </si>
  <si>
    <t>Project Overview</t>
  </si>
  <si>
    <t>기대 결과</t>
  </si>
  <si>
    <t>Browser</t>
  </si>
  <si>
    <t xml:space="preserve">ACRO 사이트 - 브랜드 페이지 검증 </t>
  </si>
  <si>
    <t>리스크 유형</t>
  </si>
  <si>
    <t>명칭</t>
  </si>
  <si>
    <t>선정 사유 (왜 NAS 제품에서 핵심인가)</t>
  </si>
  <si>
    <t>AOS</t>
  </si>
  <si>
    <t>IOS</t>
  </si>
  <si>
    <t>JIRA_NO</t>
  </si>
  <si>
    <t xml:space="preserve">5. Issue / Report </t>
  </si>
  <si>
    <t>Priority</t>
  </si>
  <si>
    <t>Comment</t>
  </si>
  <si>
    <t>Chrome</t>
  </si>
  <si>
    <t>2. Test Description</t>
  </si>
  <si>
    <t>IE11</t>
  </si>
  <si>
    <t>Firefox</t>
  </si>
  <si>
    <t>Mac
(Safari)</t>
  </si>
  <si>
    <t>Samsung
browser</t>
  </si>
  <si>
    <t>Safari</t>
  </si>
  <si>
    <t>5.1 결함 관리</t>
  </si>
  <si>
    <t>2.1 테스트 항목</t>
  </si>
  <si>
    <t>issue Tracking</t>
  </si>
  <si>
    <t>ACRO_구축_QA_진행현황.xlsx</t>
  </si>
  <si>
    <t>프로젝트</t>
  </si>
  <si>
    <t>관련 메뉴(or 단위 시스템)</t>
  </si>
  <si>
    <t>세부 내용</t>
  </si>
  <si>
    <t>세부내용(프로젝트)</t>
  </si>
  <si>
    <t>대림 ACRO 사이트 구축(Brand)</t>
  </si>
  <si>
    <t xml:space="preserve">GNB </t>
  </si>
  <si>
    <t>UI, 기능 구현 검증</t>
  </si>
  <si>
    <t>TC - Test Status Report</t>
  </si>
  <si>
    <t>메인페이지</t>
  </si>
  <si>
    <t>5.2 보고 계획</t>
  </si>
  <si>
    <t>Total TestCase</t>
  </si>
  <si>
    <t>Pass Rate</t>
  </si>
  <si>
    <t>Brand</t>
  </si>
  <si>
    <t>리포트 종류</t>
  </si>
  <si>
    <t>공유 주기</t>
  </si>
  <si>
    <t>공유 방식</t>
  </si>
  <si>
    <t>비고</t>
  </si>
  <si>
    <t>Landmark</t>
  </si>
  <si>
    <t>Test Plan</t>
  </si>
  <si>
    <t>QA 시작전</t>
  </si>
  <si>
    <t>메일 공유 &amp; 별도 업로드</t>
  </si>
  <si>
    <t>-</t>
  </si>
  <si>
    <t>Beyond Compare</t>
  </si>
  <si>
    <t>Debugging Report</t>
  </si>
  <si>
    <t>필요 시</t>
  </si>
  <si>
    <t>테스트 진행 결과</t>
  </si>
  <si>
    <t>결함현황</t>
  </si>
  <si>
    <t>ACRO Lifestyle</t>
  </si>
  <si>
    <t>Test Result</t>
  </si>
  <si>
    <t>Team ACRO</t>
  </si>
  <si>
    <t>회원별 UI, 기능 구현 검증, 관리자 연동</t>
  </si>
  <si>
    <t>MY ACRO</t>
  </si>
  <si>
    <t>로그인 / 비로그인</t>
  </si>
  <si>
    <t>회원가입</t>
  </si>
  <si>
    <t>검색</t>
  </si>
  <si>
    <t>2.2 테스트 제외항목 (Out of Scope)</t>
  </si>
  <si>
    <t>디바이스별 테스트 결과</t>
  </si>
  <si>
    <t>3. Test Environment</t>
  </si>
  <si>
    <t>UI 및 기본기능 테스트</t>
  </si>
  <si>
    <t>Desktop</t>
  </si>
  <si>
    <t>IE</t>
  </si>
  <si>
    <t>Edge</t>
  </si>
  <si>
    <t>프론트</t>
  </si>
  <si>
    <t>O</t>
  </si>
  <si>
    <t>어드민</t>
  </si>
  <si>
    <t xml:space="preserve">Mobile </t>
  </si>
  <si>
    <t>OS</t>
  </si>
  <si>
    <t>iOS</t>
  </si>
  <si>
    <t>Android</t>
  </si>
  <si>
    <t>PC</t>
  </si>
  <si>
    <t>pass</t>
  </si>
  <si>
    <t>faill</t>
  </si>
  <si>
    <t>.</t>
  </si>
  <si>
    <t xml:space="preserve">Total TestCase </t>
  </si>
  <si>
    <t>High</t>
  </si>
  <si>
    <t>Medium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</si>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</sst>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&quot;차&quot;"/>
    <numFmt numFmtId="165" formatCode="yyyy\-mm\-dd"/>
  </numFmts>
  <fonts count="41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1"/>
      <name val="Arial"/>
    </font>
    <font>
      <sz val="9.0"/>
      <color theme="1"/>
      <name val="Malgun Gothic"/>
    </font>
    <font>
      <b/>
      <sz val="20.0"/>
      <color theme="1"/>
      <name val="Malgun Gothic"/>
    </font>
    <font>
      <sz val="11.0"/>
      <color theme="1"/>
      <name val="Cambria"/>
    </font>
    <font>
      <b/>
      <sz val="14.0"/>
      <color theme="1"/>
      <name val="Malgun Gothic"/>
    </font>
    <font>
      <b/>
      <sz val="9.0"/>
      <color theme="0"/>
      <name val="Malgun Gothic"/>
    </font>
    <font>
      <b/>
      <sz val="16.0"/>
      <color rgb="FFFFFFFF"/>
      <name val="Malgun Gothic"/>
    </font>
    <font>
      <b/>
      <sz val="11.0"/>
      <color theme="1"/>
      <name val="Noto Sans"/>
    </font>
    <font/>
    <font>
      <b/>
      <sz val="9.0"/>
      <color rgb="FFFFFFFF"/>
      <name val="Malgun Gothic"/>
    </font>
    <font>
      <sz val="11.0"/>
      <color theme="1"/>
      <name val="Noto Sans"/>
    </font>
    <font>
      <b/>
      <sz val="24.0"/>
      <color rgb="FFFFFFFF"/>
      <name val="Malgun Gothic"/>
    </font>
    <font>
      <sz val="10.0"/>
      <color theme="1"/>
      <name val="Malgun Gothic"/>
    </font>
    <font>
      <b/>
      <sz val="20.0"/>
      <color theme="0"/>
      <name val="Malgun Gothic"/>
    </font>
    <font>
      <b/>
      <sz val="10.0"/>
      <color rgb="FFFFFFFF"/>
      <name val="Malgun Gothic"/>
    </font>
    <font>
      <b/>
      <sz val="8.0"/>
      <color theme="1"/>
      <name val="Malgun Gothic"/>
    </font>
    <font>
      <b/>
      <sz val="10.0"/>
      <color theme="1"/>
      <name val="Malgun Gothic"/>
    </font>
    <font>
      <b/>
      <sz val="8.0"/>
      <color rgb="FF0000FF"/>
      <name val="Malgun Gothic"/>
    </font>
    <font>
      <b/>
      <sz val="9.0"/>
      <color theme="1"/>
      <name val="Malgun Gothic"/>
    </font>
    <font>
      <b/>
      <sz val="8.0"/>
      <color rgb="FF000000"/>
      <name val="Malgun Gothic"/>
    </font>
    <font>
      <b/>
      <sz val="8.0"/>
      <color rgb="FFFF0000"/>
      <name val="Malgun Gothic"/>
    </font>
    <font>
      <i/>
      <sz val="10.0"/>
      <color rgb="FF595959"/>
      <name val="Noto Sans"/>
    </font>
    <font>
      <sz val="10.0"/>
      <color theme="1"/>
      <name val="Arial"/>
    </font>
    <font>
      <sz val="8.0"/>
      <color theme="1"/>
      <name val="Malgun Gothic"/>
    </font>
    <font>
      <b/>
      <sz val="8.0"/>
      <color theme="9"/>
      <name val="Malgun Gothic"/>
    </font>
    <font>
      <b/>
      <sz val="11.0"/>
      <color theme="1"/>
      <name val="Malgun Gothic"/>
    </font>
    <font>
      <sz val="9.0"/>
      <color rgb="FF212121"/>
      <name val="Malgun Gothic"/>
    </font>
    <font>
      <i/>
      <sz val="10.0"/>
      <color rgb="FF595959"/>
      <name val="Malgun Gothic"/>
    </font>
    <font>
      <b/>
      <sz val="8.0"/>
      <color theme="0"/>
      <name val="Malgun Gothic"/>
    </font>
    <font>
      <sz val="9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sz val="9.0"/>
      <color rgb="FFA5A5A5"/>
      <name val="Calibri"/>
    </font>
    <font>
      <sz val="9.0"/>
      <color rgb="FFD8D8D8"/>
      <name val="Calibri"/>
    </font>
    <font>
      <sz val="9.0"/>
      <color rgb="FFEEECE1"/>
      <name val="Calibri"/>
    </font>
    <font>
      <sz val="9.0"/>
      <color rgb="FFBFBFBF"/>
      <name val="Calibri"/>
    </font>
    <font>
      <b/>
      <sz val="8.0"/>
      <color rgb="FFBFBFBF"/>
      <name val="Calibri"/>
    </font>
    <font>
      <sz val="8.0"/>
      <color rgb="FFD8D8D8"/>
      <name val="Dotum"/>
    </font>
    <font>
      <sz val="11.0"/>
      <color rgb="FFD8D8D8"/>
      <name val="Dotum"/>
    </font>
  </fonts>
  <fills count="21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  <fill>
      <patternFill patternType="solid">
        <fgColor rgb="FFEFEFEF"/>
        <bgColor rgb="FFEFEFEF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7F7F7F"/>
        <bgColor rgb="FF7F7F7F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theme="0"/>
        <bgColor theme="0"/>
      </patternFill>
    </fill>
    <fill>
      <patternFill patternType="solid">
        <fgColor rgb="FFE3F2FD"/>
        <bgColor rgb="FFE3F2FD"/>
      </patternFill>
    </fill>
    <fill>
      <patternFill patternType="solid">
        <fgColor rgb="FF595959"/>
        <bgColor rgb="FF595959"/>
      </patternFill>
    </fill>
    <fill>
      <patternFill patternType="solid">
        <fgColor theme="4"/>
        <bgColor theme="4"/>
      </patternFill>
    </fill>
  </fills>
  <borders count="7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/>
      <top style="medium">
        <color rgb="FF000000"/>
      </top>
    </border>
    <border>
      <left style="medium">
        <color rgb="FF000000"/>
      </left>
      <right/>
      <top/>
      <bottom/>
    </border>
    <border>
      <right/>
      <top style="medium">
        <color rgb="FF000000"/>
      </top>
    </border>
    <border>
      <left/>
      <right/>
      <top/>
      <bottom/>
    </border>
    <border>
      <left style="double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double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vertical="center"/>
    </xf>
    <xf borderId="1" fillId="2" fontId="7" numFmtId="164" xfId="0" applyAlignment="1" applyBorder="1" applyFill="1" applyFont="1" applyNumberFormat="1">
      <alignment horizontal="center" shrinkToFit="0" vertical="center" wrapText="1"/>
    </xf>
    <xf borderId="2" fillId="3" fontId="8" numFmtId="0" xfId="0" applyAlignment="1" applyBorder="1" applyFill="1" applyFont="1">
      <alignment horizontal="center" vertical="center"/>
    </xf>
    <xf borderId="3" fillId="4" fontId="9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vertical="center"/>
    </xf>
    <xf borderId="5" fillId="2" fontId="1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3" fillId="0" fontId="12" numFmtId="0" xfId="0" applyAlignment="1" applyBorder="1" applyFont="1">
      <alignment horizontal="left" shrinkToFit="0" vertical="center" wrapText="1"/>
    </xf>
    <xf borderId="9" fillId="2" fontId="13" numFmtId="0" xfId="0" applyAlignment="1" applyBorder="1" applyFont="1">
      <alignment horizontal="center" vertical="center"/>
    </xf>
    <xf borderId="10" fillId="5" fontId="14" numFmtId="0" xfId="0" applyAlignment="1" applyBorder="1" applyFill="1" applyFont="1">
      <alignment vertical="bottom"/>
    </xf>
    <xf borderId="11" fillId="0" fontId="10" numFmtId="0" xfId="0" applyAlignment="1" applyBorder="1" applyFont="1">
      <alignment vertical="center"/>
    </xf>
    <xf borderId="3" fillId="0" fontId="1" numFmtId="0" xfId="0" applyAlignment="1" applyBorder="1" applyFont="1">
      <alignment horizontal="left" shrinkToFit="0" vertical="center" wrapText="1"/>
    </xf>
    <xf borderId="12" fillId="5" fontId="14" numFmtId="0" xfId="0" applyAlignment="1" applyBorder="1" applyFont="1">
      <alignment vertical="bottom"/>
    </xf>
    <xf borderId="3" fillId="6" fontId="1" numFmtId="0" xfId="0" applyAlignment="1" applyBorder="1" applyFill="1" applyFont="1">
      <alignment horizontal="left" shrinkToFit="0" vertical="center" wrapText="1"/>
    </xf>
    <xf borderId="13" fillId="2" fontId="15" numFmtId="0" xfId="0" applyAlignment="1" applyBorder="1" applyFont="1">
      <alignment horizontal="center" vertical="center"/>
    </xf>
    <xf borderId="14" fillId="5" fontId="14" numFmtId="0" xfId="0" applyAlignment="1" applyBorder="1" applyFont="1">
      <alignment vertical="bottom"/>
    </xf>
    <xf borderId="15" fillId="2" fontId="11" numFmtId="0" xfId="0" applyAlignment="1" applyBorder="1" applyFont="1">
      <alignment horizontal="center" shrinkToFit="0" vertical="center" wrapText="1"/>
    </xf>
    <xf borderId="16" fillId="2" fontId="16" numFmtId="0" xfId="0" applyAlignment="1" applyBorder="1" applyFont="1">
      <alignment horizontal="left" vertical="center"/>
    </xf>
    <xf borderId="17" fillId="0" fontId="10" numFmtId="0" xfId="0" applyAlignment="1" applyBorder="1" applyFont="1">
      <alignment vertical="center"/>
    </xf>
    <xf borderId="18" fillId="0" fontId="10" numFmtId="0" xfId="0" applyAlignment="1" applyBorder="1" applyFont="1">
      <alignment vertical="center"/>
    </xf>
    <xf borderId="16" fillId="7" fontId="14" numFmtId="0" xfId="0" applyAlignment="1" applyBorder="1" applyFill="1" applyFont="1">
      <alignment horizontal="center" vertical="bottom"/>
    </xf>
    <xf borderId="19" fillId="0" fontId="10" numFmtId="0" xfId="0" applyAlignment="1" applyBorder="1" applyFont="1">
      <alignment vertical="center"/>
    </xf>
    <xf borderId="20" fillId="8" fontId="17" numFmtId="0" xfId="0" applyAlignment="1" applyBorder="1" applyFill="1" applyFont="1">
      <alignment horizontal="center" vertical="center"/>
    </xf>
    <xf borderId="21" fillId="7" fontId="14" numFmtId="0" xfId="0" applyAlignment="1" applyBorder="1" applyFont="1">
      <alignment horizontal="center" vertical="bottom"/>
    </xf>
    <xf borderId="21" fillId="0" fontId="17" numFmtId="9" xfId="0" applyAlignment="1" applyBorder="1" applyFont="1" applyNumberFormat="1">
      <alignment horizontal="center" shrinkToFit="0" vertical="center" wrapText="1"/>
    </xf>
    <xf borderId="22" fillId="0" fontId="10" numFmtId="0" xfId="0" applyAlignment="1" applyBorder="1" applyFont="1">
      <alignment vertical="center"/>
    </xf>
    <xf borderId="23" fillId="0" fontId="10" numFmtId="0" xfId="0" applyAlignment="1" applyBorder="1" applyFont="1">
      <alignment vertical="center"/>
    </xf>
    <xf borderId="16" fillId="9" fontId="18" numFmtId="0" xfId="0" applyAlignment="1" applyBorder="1" applyFill="1" applyFont="1">
      <alignment horizontal="center" vertical="center"/>
    </xf>
    <xf borderId="24" fillId="0" fontId="10" numFmtId="0" xfId="0" applyAlignment="1" applyBorder="1" applyFont="1">
      <alignment vertical="center"/>
    </xf>
    <xf borderId="25" fillId="0" fontId="10" numFmtId="0" xfId="0" applyAlignment="1" applyBorder="1" applyFont="1">
      <alignment vertical="center"/>
    </xf>
    <xf borderId="21" fillId="9" fontId="18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20" fillId="8" fontId="19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bottom"/>
    </xf>
    <xf borderId="21" fillId="0" fontId="14" numFmtId="165" xfId="0" applyAlignment="1" applyBorder="1" applyFont="1" applyNumberFormat="1">
      <alignment horizontal="center" vertical="bottom"/>
    </xf>
    <xf borderId="21" fillId="0" fontId="14" numFmtId="0" xfId="0" applyAlignment="1" applyBorder="1" applyFont="1">
      <alignment horizontal="center" vertical="bottom"/>
    </xf>
    <xf borderId="21" fillId="0" fontId="19" numFmtId="9" xfId="0" applyAlignment="1" applyBorder="1" applyFont="1" applyNumberFormat="1">
      <alignment horizontal="center" shrinkToFit="0" vertical="center" wrapText="1"/>
    </xf>
    <xf borderId="21" fillId="0" fontId="14" numFmtId="0" xfId="0" applyAlignment="1" applyBorder="1" applyFont="1">
      <alignment vertical="bottom"/>
    </xf>
    <xf borderId="26" fillId="10" fontId="20" numFmtId="0" xfId="0" applyAlignment="1" applyBorder="1" applyFill="1" applyFont="1">
      <alignment horizontal="center" vertical="center"/>
    </xf>
    <xf borderId="21" fillId="0" fontId="3" numFmtId="0" xfId="0" applyAlignment="1" applyBorder="1" applyFont="1">
      <alignment shrinkToFit="0" vertical="center" wrapText="1"/>
    </xf>
    <xf borderId="27" fillId="0" fontId="14" numFmtId="0" xfId="0" applyAlignment="1" applyBorder="1" applyFont="1">
      <alignment horizontal="center" vertical="center"/>
    </xf>
    <xf borderId="28" fillId="0" fontId="10" numFmtId="0" xfId="0" applyAlignment="1" applyBorder="1" applyFont="1">
      <alignment vertical="center"/>
    </xf>
    <xf borderId="29" fillId="0" fontId="21" numFmtId="0" xfId="0" applyAlignment="1" applyBorder="1" applyFont="1">
      <alignment horizontal="left" vertical="center"/>
    </xf>
    <xf borderId="3" fillId="11" fontId="9" numFmtId="0" xfId="0" applyAlignment="1" applyBorder="1" applyFill="1" applyFont="1">
      <alignment horizontal="center" shrinkToFit="0" vertical="center" wrapText="1"/>
    </xf>
    <xf borderId="21" fillId="0" fontId="14" numFmtId="0" xfId="0" applyAlignment="1" applyBorder="1" applyFont="1">
      <alignment horizontal="center" vertical="center"/>
    </xf>
    <xf borderId="3" fillId="11" fontId="5" numFmtId="0" xfId="0" applyAlignment="1" applyBorder="1" applyFont="1">
      <alignment vertical="bottom"/>
    </xf>
    <xf borderId="21" fillId="0" fontId="14" numFmtId="165" xfId="0" applyAlignment="1" applyBorder="1" applyFont="1" applyNumberFormat="1">
      <alignment horizontal="center" vertical="center"/>
    </xf>
    <xf borderId="20" fillId="8" fontId="22" numFmtId="0" xfId="0" applyAlignment="1" applyBorder="1" applyFont="1">
      <alignment horizontal="center" vertical="center"/>
    </xf>
    <xf borderId="3" fillId="11" fontId="23" numFmtId="0" xfId="0" applyAlignment="1" applyBorder="1" applyFont="1">
      <alignment horizontal="center" shrinkToFit="0" vertical="center" wrapText="1"/>
    </xf>
    <xf borderId="17" fillId="0" fontId="14" numFmtId="0" xfId="0" applyAlignment="1" applyBorder="1" applyFont="1">
      <alignment horizontal="center" vertical="center"/>
    </xf>
    <xf borderId="3" fillId="11" fontId="1" numFmtId="0" xfId="0" applyAlignment="1" applyBorder="1" applyFont="1">
      <alignment vertical="bottom"/>
    </xf>
    <xf borderId="18" fillId="0" fontId="24" numFmtId="0" xfId="0" applyAlignment="1" applyBorder="1" applyFont="1">
      <alignment vertical="bottom"/>
    </xf>
    <xf borderId="21" fillId="0" fontId="22" numFmtId="9" xfId="0" applyAlignment="1" applyBorder="1" applyFont="1" applyNumberFormat="1">
      <alignment horizontal="center" shrinkToFit="0" vertical="center" wrapText="1"/>
    </xf>
    <xf borderId="26" fillId="12" fontId="20" numFmtId="0" xfId="0" applyAlignment="1" applyBorder="1" applyFill="1" applyFont="1">
      <alignment horizontal="center" vertical="center"/>
    </xf>
    <xf borderId="29" fillId="0" fontId="25" numFmtId="0" xfId="0" applyAlignment="1" applyBorder="1" applyFont="1">
      <alignment horizontal="left" vertical="center"/>
    </xf>
    <xf borderId="30" fillId="0" fontId="10" numFmtId="0" xfId="0" applyAlignment="1" applyBorder="1" applyFont="1">
      <alignment vertical="center"/>
    </xf>
    <xf borderId="31" fillId="0" fontId="10" numFmtId="0" xfId="0" applyAlignment="1" applyBorder="1" applyFont="1">
      <alignment vertical="center"/>
    </xf>
    <xf borderId="20" fillId="8" fontId="26" numFmtId="0" xfId="0" applyAlignment="1" applyBorder="1" applyFont="1">
      <alignment horizontal="center" vertical="center"/>
    </xf>
    <xf borderId="3" fillId="4" fontId="27" numFmtId="0" xfId="0" applyAlignment="1" applyBorder="1" applyFont="1">
      <alignment horizontal="center" shrinkToFit="0" vertical="center" wrapText="1"/>
    </xf>
    <xf borderId="21" fillId="0" fontId="26" numFmtId="9" xfId="0" applyAlignment="1" applyBorder="1" applyFont="1" applyNumberFormat="1">
      <alignment horizontal="center" shrinkToFit="0" vertical="center" wrapText="1"/>
    </xf>
    <xf borderId="26" fillId="13" fontId="20" numFmtId="0" xfId="0" applyAlignment="1" applyBorder="1" applyFill="1" applyFont="1">
      <alignment horizontal="center" vertical="center"/>
    </xf>
    <xf borderId="32" fillId="2" fontId="11" numFmtId="0" xfId="0" applyAlignment="1" applyBorder="1" applyFont="1">
      <alignment horizontal="center" shrinkToFit="0" vertical="center" wrapText="1"/>
    </xf>
    <xf borderId="33" fillId="8" fontId="17" numFmtId="0" xfId="0" applyAlignment="1" applyBorder="1" applyFont="1">
      <alignment horizontal="center" vertical="center"/>
    </xf>
    <xf borderId="34" fillId="0" fontId="17" numFmtId="9" xfId="0" applyAlignment="1" applyBorder="1" applyFont="1" applyNumberFormat="1">
      <alignment horizontal="center" shrinkToFit="0" vertical="center" wrapText="1"/>
    </xf>
    <xf borderId="35" fillId="0" fontId="10" numFmtId="0" xfId="0" applyAlignment="1" applyBorder="1" applyFont="1">
      <alignment vertical="center"/>
    </xf>
    <xf borderId="36" fillId="14" fontId="20" numFmtId="0" xfId="0" applyAlignment="1" applyBorder="1" applyFill="1" applyFont="1">
      <alignment horizontal="center" vertical="center"/>
    </xf>
    <xf borderId="37" fillId="0" fontId="10" numFmtId="0" xfId="0" applyAlignment="1" applyBorder="1" applyFont="1">
      <alignment vertical="center"/>
    </xf>
    <xf borderId="34" fillId="0" fontId="3" numFmtId="0" xfId="0" applyAlignment="1" applyBorder="1" applyFont="1">
      <alignment shrinkToFit="0" vertical="center" wrapText="1"/>
    </xf>
    <xf borderId="38" fillId="0" fontId="10" numFmtId="0" xfId="0" applyAlignment="1" applyBorder="1" applyFont="1">
      <alignment vertical="center"/>
    </xf>
    <xf borderId="39" fillId="0" fontId="25" numFmtId="0" xfId="0" applyAlignment="1" applyBorder="1" applyFont="1">
      <alignment horizontal="left" vertical="center"/>
    </xf>
    <xf borderId="40" fillId="2" fontId="16" numFmtId="0" xfId="0" applyAlignment="1" applyBorder="1" applyFont="1">
      <alignment horizontal="left" vertical="center"/>
    </xf>
    <xf borderId="0" fillId="0" fontId="28" numFmtId="0" xfId="0" applyAlignment="1" applyFont="1">
      <alignment horizontal="center" vertical="center"/>
    </xf>
    <xf borderId="41" fillId="0" fontId="10" numFmtId="0" xfId="0" applyAlignment="1" applyBorder="1" applyFont="1">
      <alignment vertical="center"/>
    </xf>
    <xf borderId="42" fillId="0" fontId="10" numFmtId="0" xfId="0" applyAlignment="1" applyBorder="1" applyFont="1">
      <alignment vertical="center"/>
    </xf>
    <xf borderId="16" fillId="0" fontId="14" numFmtId="0" xfId="0" applyAlignment="1" applyBorder="1" applyFont="1">
      <alignment horizontal="center" vertical="center"/>
    </xf>
    <xf borderId="43" fillId="3" fontId="11" numFmtId="0" xfId="0" applyAlignment="1" applyBorder="1" applyFont="1">
      <alignment horizontal="center" vertical="center"/>
    </xf>
    <xf borderId="43" fillId="3" fontId="7" numFmtId="0" xfId="0" applyAlignment="1" applyBorder="1" applyFont="1">
      <alignment horizontal="center" vertical="center"/>
    </xf>
    <xf borderId="0" fillId="0" fontId="29" numFmtId="0" xfId="0" applyAlignment="1" applyFont="1">
      <alignment horizontal="left" shrinkToFit="0" vertical="center" wrapText="1"/>
    </xf>
    <xf borderId="44" fillId="0" fontId="18" numFmtId="0" xfId="0" applyAlignment="1" applyBorder="1" applyFont="1">
      <alignment horizontal="center" vertical="bottom"/>
    </xf>
    <xf borderId="45" fillId="0" fontId="10" numFmtId="0" xfId="0" applyAlignment="1" applyBorder="1" applyFont="1">
      <alignment vertical="center"/>
    </xf>
    <xf borderId="46" fillId="0" fontId="24" numFmtId="0" xfId="0" applyAlignment="1" applyBorder="1" applyFont="1">
      <alignment vertical="bottom"/>
    </xf>
    <xf borderId="21" fillId="3" fontId="7" numFmtId="0" xfId="0" applyAlignment="1" applyBorder="1" applyFont="1">
      <alignment horizontal="center" shrinkToFit="0" vertical="center" wrapText="1"/>
    </xf>
    <xf borderId="47" fillId="0" fontId="24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0" fillId="0" fontId="14" numFmtId="0" xfId="0" applyAlignment="1" applyFont="1">
      <alignment vertical="center"/>
    </xf>
    <xf borderId="43" fillId="3" fontId="7" numFmtId="0" xfId="0" applyAlignment="1" applyBorder="1" applyFont="1">
      <alignment horizontal="center" shrinkToFit="0" vertical="center" wrapText="1"/>
    </xf>
    <xf borderId="3" fillId="15" fontId="1" numFmtId="0" xfId="0" applyAlignment="1" applyBorder="1" applyFill="1" applyFont="1">
      <alignment horizontal="center" shrinkToFit="0" vertical="center" wrapText="1"/>
    </xf>
    <xf borderId="3" fillId="15" fontId="12" numFmtId="0" xfId="0" applyAlignment="1" applyBorder="1" applyFont="1">
      <alignment horizontal="left" shrinkToFit="0" vertical="center" wrapText="1"/>
    </xf>
    <xf borderId="43" fillId="3" fontId="7" numFmtId="49" xfId="0" applyAlignment="1" applyBorder="1" applyFont="1" applyNumberFormat="1">
      <alignment horizontal="center" shrinkToFit="0" vertical="center" wrapText="1"/>
    </xf>
    <xf borderId="3" fillId="15" fontId="1" numFmtId="0" xfId="0" applyAlignment="1" applyBorder="1" applyFont="1">
      <alignment horizontal="left" shrinkToFit="0" vertical="center" wrapText="1"/>
    </xf>
    <xf borderId="3" fillId="15" fontId="5" numFmtId="0" xfId="0" applyAlignment="1" applyBorder="1" applyFont="1">
      <alignment vertical="bottom"/>
    </xf>
    <xf borderId="48" fillId="0" fontId="10" numFmtId="0" xfId="0" applyAlignment="1" applyBorder="1" applyFont="1">
      <alignment vertical="center"/>
    </xf>
    <xf borderId="3" fillId="16" fontId="1" numFmtId="0" xfId="0" applyAlignment="1" applyBorder="1" applyFill="1" applyFont="1">
      <alignment horizontal="center" shrinkToFit="0" vertical="center" wrapText="1"/>
    </xf>
    <xf borderId="49" fillId="3" fontId="30" numFmtId="0" xfId="0" applyAlignment="1" applyBorder="1" applyFont="1">
      <alignment horizontal="center" shrinkToFit="0" vertical="center" wrapText="1"/>
    </xf>
    <xf borderId="3" fillId="16" fontId="12" numFmtId="0" xfId="0" applyAlignment="1" applyBorder="1" applyFont="1">
      <alignment horizontal="left" shrinkToFit="0" vertical="center" wrapText="1"/>
    </xf>
    <xf borderId="50" fillId="2" fontId="16" numFmtId="0" xfId="0" applyAlignment="1" applyBorder="1" applyFont="1">
      <alignment horizontal="left" vertical="center"/>
    </xf>
    <xf borderId="51" fillId="0" fontId="10" numFmtId="0" xfId="0" applyAlignment="1" applyBorder="1" applyFont="1">
      <alignment vertical="center"/>
    </xf>
    <xf borderId="3" fillId="16" fontId="1" numFmtId="0" xfId="0" applyAlignment="1" applyBorder="1" applyFont="1">
      <alignment horizontal="left" shrinkToFit="0" vertical="center" wrapText="1"/>
    </xf>
    <xf borderId="3" fillId="16" fontId="5" numFmtId="0" xfId="0" applyAlignment="1" applyBorder="1" applyFont="1">
      <alignment vertical="bottom"/>
    </xf>
    <xf borderId="52" fillId="0" fontId="10" numFmtId="0" xfId="0" applyAlignment="1" applyBorder="1" applyFont="1">
      <alignment vertical="center"/>
    </xf>
    <xf borderId="12" fillId="17" fontId="3" numFmtId="0" xfId="0" applyAlignment="1" applyBorder="1" applyFill="1" applyFont="1">
      <alignment vertical="center"/>
    </xf>
    <xf borderId="53" fillId="5" fontId="18" numFmtId="0" xfId="0" applyAlignment="1" applyBorder="1" applyFont="1">
      <alignment horizontal="left" vertical="bottom"/>
    </xf>
    <xf borderId="20" fillId="0" fontId="20" numFmtId="49" xfId="0" applyAlignment="1" applyBorder="1" applyFont="1" applyNumberFormat="1">
      <alignment horizontal="right" vertical="center"/>
    </xf>
    <xf borderId="54" fillId="0" fontId="10" numFmtId="0" xfId="0" applyAlignment="1" applyBorder="1" applyFont="1">
      <alignment vertical="center"/>
    </xf>
    <xf borderId="3" fillId="18" fontId="1" numFmtId="0" xfId="0" applyAlignment="1" applyBorder="1" applyFill="1" applyFont="1">
      <alignment horizontal="center" shrinkToFit="0" vertical="center" wrapText="1"/>
    </xf>
    <xf borderId="20" fillId="0" fontId="3" numFmtId="0" xfId="0" applyAlignment="1" applyBorder="1" applyFont="1">
      <alignment horizontal="center" vertical="center"/>
    </xf>
    <xf borderId="3" fillId="18" fontId="12" numFmtId="0" xfId="0" applyAlignment="1" applyBorder="1" applyFont="1">
      <alignment horizontal="left" shrinkToFit="0" vertical="center" wrapText="1"/>
    </xf>
    <xf borderId="55" fillId="0" fontId="10" numFmtId="0" xfId="0" applyAlignment="1" applyBorder="1" applyFont="1">
      <alignment vertical="center"/>
    </xf>
    <xf borderId="20" fillId="0" fontId="3" numFmtId="0" xfId="0" applyAlignment="1" applyBorder="1" applyFont="1">
      <alignment shrinkToFit="0" vertical="top" wrapText="1"/>
    </xf>
    <xf borderId="3" fillId="18" fontId="1" numFmtId="0" xfId="0" applyAlignment="1" applyBorder="1" applyFont="1">
      <alignment horizontal="left" shrinkToFit="0" vertical="center" wrapText="1"/>
    </xf>
    <xf borderId="37" fillId="0" fontId="18" numFmtId="0" xfId="0" applyAlignment="1" applyBorder="1" applyFont="1">
      <alignment horizontal="left" vertical="bottom"/>
    </xf>
    <xf borderId="20" fillId="19" fontId="20" numFmtId="0" xfId="0" applyAlignment="1" applyBorder="1" applyFill="1" applyFont="1">
      <alignment horizontal="center" vertical="center"/>
    </xf>
    <xf borderId="56" fillId="0" fontId="10" numFmtId="0" xfId="0" applyAlignment="1" applyBorder="1" applyFont="1">
      <alignment vertical="center"/>
    </xf>
    <xf borderId="3" fillId="18" fontId="5" numFmtId="0" xfId="0" applyAlignment="1" applyBorder="1" applyFont="1">
      <alignment vertical="bottom"/>
    </xf>
    <xf borderId="16" fillId="8" fontId="18" numFmtId="0" xfId="0" applyAlignment="1" applyBorder="1" applyFont="1">
      <alignment horizontal="center" vertical="center"/>
    </xf>
    <xf borderId="20" fillId="0" fontId="20" numFmtId="0" xfId="0" applyAlignment="1" applyBorder="1" applyFont="1">
      <alignment horizontal="center" vertical="center"/>
    </xf>
    <xf borderId="20" fillId="0" fontId="20" numFmtId="49" xfId="0" applyAlignment="1" applyBorder="1" applyFont="1" applyNumberFormat="1">
      <alignment horizontal="center" vertical="center"/>
    </xf>
    <xf borderId="21" fillId="5" fontId="14" numFmtId="0" xfId="0" applyAlignment="1" applyBorder="1" applyFont="1">
      <alignment vertical="center"/>
    </xf>
    <xf borderId="40" fillId="9" fontId="18" numFmtId="0" xfId="0" applyAlignment="1" applyBorder="1" applyFont="1">
      <alignment horizontal="center" vertical="center"/>
    </xf>
    <xf borderId="57" fillId="0" fontId="10" numFmtId="0" xfId="0" applyAlignment="1" applyBorder="1" applyFont="1">
      <alignment vertical="center"/>
    </xf>
    <xf borderId="16" fillId="8" fontId="14" numFmtId="0" xfId="0" applyAlignment="1" applyBorder="1" applyFont="1">
      <alignment horizontal="center" vertical="center"/>
    </xf>
    <xf borderId="0" fillId="0" fontId="31" numFmtId="0" xfId="0" applyAlignment="1" applyFont="1">
      <alignment vertical="center"/>
    </xf>
    <xf borderId="27" fillId="0" fontId="14" numFmtId="0" xfId="0" applyAlignment="1" applyBorder="1" applyFont="1">
      <alignment horizontal="center" shrinkToFit="0" vertical="center" wrapText="1"/>
    </xf>
    <xf borderId="58" fillId="0" fontId="10" numFmtId="0" xfId="0" applyAlignment="1" applyBorder="1" applyFont="1">
      <alignment vertical="center"/>
    </xf>
    <xf borderId="17" fillId="0" fontId="14" numFmtId="0" xfId="0" applyAlignment="1" applyBorder="1" applyFont="1">
      <alignment vertical="center"/>
    </xf>
    <xf borderId="21" fillId="0" fontId="14" numFmtId="0" xfId="0" applyAlignment="1" applyBorder="1" applyFont="1">
      <alignment vertical="center"/>
    </xf>
    <xf borderId="21" fillId="20" fontId="32" numFmtId="0" xfId="0" applyAlignment="1" applyBorder="1" applyFill="1" applyFont="1">
      <alignment horizontal="center" vertical="center"/>
    </xf>
    <xf borderId="21" fillId="8" fontId="33" numFmtId="0" xfId="0" applyAlignment="1" applyBorder="1" applyFont="1">
      <alignment horizontal="center" vertical="center"/>
    </xf>
    <xf borderId="21" fillId="0" fontId="31" numFmtId="0" xfId="0" applyAlignment="1" applyBorder="1" applyFont="1">
      <alignment horizontal="center" vertical="center"/>
    </xf>
    <xf borderId="21" fillId="0" fontId="31" numFmtId="9" xfId="0" applyAlignment="1" applyBorder="1" applyFont="1" applyNumberFormat="1">
      <alignment horizontal="center" vertical="center"/>
    </xf>
    <xf borderId="16" fillId="5" fontId="14" numFmtId="0" xfId="0" applyAlignment="1" applyBorder="1" applyFont="1">
      <alignment horizontal="center" vertical="center"/>
    </xf>
    <xf borderId="21" fillId="5" fontId="14" numFmtId="0" xfId="0" applyAlignment="1" applyBorder="1" applyFont="1">
      <alignment horizontal="center" vertical="center"/>
    </xf>
    <xf borderId="12" fillId="17" fontId="34" numFmtId="0" xfId="0" applyAlignment="1" applyBorder="1" applyFont="1">
      <alignment vertical="center"/>
    </xf>
    <xf borderId="59" fillId="0" fontId="31" numFmtId="0" xfId="0" applyAlignment="1" applyBorder="1" applyFont="1">
      <alignment horizontal="center" vertical="center"/>
    </xf>
    <xf borderId="44" fillId="5" fontId="14" numFmtId="0" xfId="0" applyAlignment="1" applyBorder="1" applyFont="1">
      <alignment horizontal="center" vertical="center"/>
    </xf>
    <xf borderId="46" fillId="0" fontId="10" numFmtId="0" xfId="0" applyAlignment="1" applyBorder="1" applyFont="1">
      <alignment vertical="center"/>
    </xf>
    <xf borderId="34" fillId="5" fontId="14" numFmtId="0" xfId="0" applyAlignment="1" applyBorder="1" applyFont="1">
      <alignment horizontal="center" vertical="center"/>
    </xf>
    <xf borderId="12" fillId="17" fontId="35" numFmtId="0" xfId="0" applyAlignment="1" applyBorder="1" applyFont="1">
      <alignment vertical="center"/>
    </xf>
    <xf borderId="60" fillId="0" fontId="10" numFmtId="0" xfId="0" applyAlignment="1" applyBorder="1" applyFont="1">
      <alignment vertical="center"/>
    </xf>
    <xf borderId="12" fillId="17" fontId="36" numFmtId="0" xfId="0" applyAlignment="1" applyBorder="1" applyFont="1">
      <alignment vertical="center"/>
    </xf>
    <xf borderId="47" fillId="0" fontId="10" numFmtId="0" xfId="0" applyAlignment="1" applyBorder="1" applyFont="1">
      <alignment vertical="center"/>
    </xf>
    <xf borderId="0" fillId="0" fontId="35" numFmtId="0" xfId="0" applyAlignment="1" applyFont="1">
      <alignment vertical="center"/>
    </xf>
    <xf borderId="17" fillId="0" fontId="24" numFmtId="0" xfId="0" applyAlignment="1" applyBorder="1" applyFont="1">
      <alignment vertical="bottom"/>
    </xf>
    <xf borderId="58" fillId="0" fontId="14" numFmtId="0" xfId="0" applyAlignment="1" applyBorder="1" applyFont="1">
      <alignment vertical="center"/>
    </xf>
    <xf borderId="19" fillId="0" fontId="24" numFmtId="0" xfId="0" applyAlignment="1" applyBorder="1" applyFont="1">
      <alignment vertical="bottom"/>
    </xf>
    <xf borderId="61" fillId="0" fontId="10" numFmtId="0" xfId="0" applyAlignment="1" applyBorder="1" applyFont="1">
      <alignment vertical="center"/>
    </xf>
    <xf borderId="37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58" fillId="0" fontId="14" numFmtId="0" xfId="0" applyAlignment="1" applyBorder="1" applyFont="1">
      <alignment vertical="bottom"/>
    </xf>
    <xf borderId="56" fillId="0" fontId="14" numFmtId="0" xfId="0" applyAlignment="1" applyBorder="1" applyFont="1">
      <alignment vertical="bottom"/>
    </xf>
    <xf borderId="62" fillId="0" fontId="10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2" fillId="2" fontId="16" numFmtId="0" xfId="0" applyAlignment="1" applyBorder="1" applyFont="1">
      <alignment horizontal="left" vertical="center"/>
    </xf>
    <xf borderId="2" fillId="5" fontId="18" numFmtId="0" xfId="0" applyAlignment="1" applyBorder="1" applyFont="1">
      <alignment horizontal="left" vertical="bottom"/>
    </xf>
    <xf borderId="63" fillId="0" fontId="10" numFmtId="0" xfId="0" applyAlignment="1" applyBorder="1" applyFont="1">
      <alignment vertical="center"/>
    </xf>
    <xf borderId="37" fillId="0" fontId="14" numFmtId="0" xfId="0" applyAlignment="1" applyBorder="1" applyFont="1">
      <alignment horizontal="left" vertical="bottom"/>
    </xf>
    <xf borderId="12" fillId="5" fontId="14" numFmtId="0" xfId="0" applyAlignment="1" applyBorder="1" applyFont="1">
      <alignment horizontal="left" vertical="bottom"/>
    </xf>
    <xf borderId="64" fillId="5" fontId="14" numFmtId="0" xfId="0" applyAlignment="1" applyBorder="1" applyFont="1">
      <alignment vertical="bottom"/>
    </xf>
    <xf borderId="65" fillId="9" fontId="14" numFmtId="0" xfId="0" applyAlignment="1" applyBorder="1" applyFont="1">
      <alignment horizontal="left" vertical="center"/>
    </xf>
    <xf borderId="26" fillId="9" fontId="14" numFmtId="0" xfId="0" applyAlignment="1" applyBorder="1" applyFont="1">
      <alignment horizontal="left" vertical="center"/>
    </xf>
    <xf borderId="20" fillId="9" fontId="14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56" fillId="0" fontId="2" numFmtId="0" xfId="0" applyAlignment="1" applyBorder="1" applyFont="1">
      <alignment vertical="center"/>
    </xf>
    <xf borderId="16" fillId="8" fontId="14" numFmtId="0" xfId="0" applyAlignment="1" applyBorder="1" applyFont="1">
      <alignment horizontal="left" vertical="center"/>
    </xf>
    <xf borderId="20" fillId="5" fontId="14" numFmtId="0" xfId="0" applyAlignment="1" applyBorder="1" applyFont="1">
      <alignment horizontal="center" vertical="center"/>
    </xf>
    <xf quotePrefix="1" borderId="20" fillId="5" fontId="14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left" vertical="bottom"/>
    </xf>
    <xf borderId="30" fillId="0" fontId="14" numFmtId="0" xfId="0" applyAlignment="1" applyBorder="1" applyFont="1">
      <alignment horizontal="left" vertical="bottom"/>
    </xf>
    <xf borderId="61" fillId="0" fontId="14" numFmtId="0" xfId="0" applyAlignment="1" applyBorder="1" applyFont="1">
      <alignment horizontal="left" vertical="bottom"/>
    </xf>
    <xf borderId="16" fillId="9" fontId="14" numFmtId="0" xfId="0" applyAlignment="1" applyBorder="1" applyFont="1">
      <alignment horizontal="left" vertical="center"/>
    </xf>
    <xf borderId="66" fillId="9" fontId="14" numFmtId="0" xfId="0" applyAlignment="1" applyBorder="1" applyFont="1">
      <alignment horizontal="center" vertical="center"/>
    </xf>
    <xf borderId="67" fillId="5" fontId="14" numFmtId="0" xfId="0" applyAlignment="1" applyBorder="1" applyFont="1">
      <alignment horizontal="left" vertical="bottom"/>
    </xf>
    <xf borderId="68" fillId="5" fontId="14" numFmtId="0" xfId="0" applyAlignment="1" applyBorder="1" applyFont="1">
      <alignment horizontal="left" vertical="bottom"/>
    </xf>
    <xf borderId="68" fillId="5" fontId="14" numFmtId="0" xfId="0" applyAlignment="1" applyBorder="1" applyFont="1">
      <alignment vertical="bottom"/>
    </xf>
    <xf borderId="69" fillId="5" fontId="14" numFmtId="0" xfId="0" applyAlignment="1" applyBorder="1" applyFont="1">
      <alignment vertical="bottom"/>
    </xf>
    <xf borderId="70" fillId="0" fontId="37" numFmtId="0" xfId="0" applyAlignment="1" applyBorder="1" applyFont="1">
      <alignment horizontal="center" vertical="center"/>
    </xf>
    <xf borderId="71" fillId="0" fontId="10" numFmtId="0" xfId="0" applyAlignment="1" applyBorder="1" applyFont="1">
      <alignment vertical="center"/>
    </xf>
    <xf borderId="72" fillId="0" fontId="10" numFmtId="0" xfId="0" applyAlignment="1" applyBorder="1" applyFont="1">
      <alignment vertical="center"/>
    </xf>
    <xf borderId="73" fillId="17" fontId="37" numFmtId="0" xfId="0" applyAlignment="1" applyBorder="1" applyFont="1">
      <alignment vertical="center"/>
    </xf>
    <xf borderId="73" fillId="17" fontId="38" numFmtId="0" xfId="0" applyAlignment="1" applyBorder="1" applyFont="1">
      <alignment horizontal="center" shrinkToFit="0" vertical="center" wrapText="1"/>
    </xf>
    <xf borderId="73" fillId="0" fontId="39" numFmtId="0" xfId="0" applyAlignment="1" applyBorder="1" applyFont="1">
      <alignment horizontal="left" vertical="center"/>
    </xf>
    <xf borderId="73" fillId="17" fontId="39" numFmtId="0" xfId="0" applyAlignment="1" applyBorder="1" applyFont="1">
      <alignment horizontal="left" vertical="center"/>
    </xf>
    <xf borderId="73" fillId="0" fontId="35" numFmtId="0" xfId="0" applyAlignment="1" applyBorder="1" applyFont="1">
      <alignment horizontal="center" vertical="center"/>
    </xf>
    <xf borderId="73" fillId="0" fontId="40" numFmtId="0" xfId="0" applyAlignment="1" applyBorder="1" applyFont="1">
      <alignment horizontal="center" vertical="center"/>
    </xf>
    <xf borderId="74" fillId="5" fontId="40" numFmtId="0" xfId="0" applyAlignment="1" applyBorder="1" applyFont="1">
      <alignment horizontal="center" vertical="center"/>
    </xf>
    <xf borderId="72" fillId="0" fontId="35" numFmtId="0" xfId="0" applyAlignment="1" applyBorder="1" applyFont="1">
      <alignment horizontal="center" vertical="center"/>
    </xf>
    <xf borderId="73" fillId="0" fontId="35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8"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C6D9F0"/>
          <bgColor rgb="FFC6D9F0"/>
        </patternFill>
      </fill>
      <border/>
    </dxf>
    <dxf>
      <font>
        <b/>
      </font>
      <fill>
        <patternFill patternType="solid">
          <fgColor rgb="FFFABF8F"/>
          <bgColor rgb="FFFABF8F"/>
        </patternFill>
      </fill>
      <border/>
    </dxf>
    <dxf>
      <font>
        <b/>
      </font>
      <fill>
        <patternFill patternType="solid">
          <fgColor rgb="FF595959"/>
          <bgColor rgb="FF595959"/>
        </patternFill>
      </fill>
      <border/>
    </dxf>
    <dxf>
      <font>
        <color rgb="FFC2D69B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TC_Result_Report!$C$151:$D$151</c:f>
            </c:strRef>
          </c:cat>
          <c:val>
            <c:numRef>
              <c:f>TC_Result_Report!$C$152:$D$152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A61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21212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TC_Result_Report!$G$151:$J$151</c:f>
            </c:strRef>
          </c:cat>
          <c:val>
            <c:numRef>
              <c:f>TC_Result_Report!$G$152:$J$152</c:f>
              <c:numCache/>
            </c:numRef>
          </c:val>
        </c:ser>
        <c:axId val="1166037784"/>
        <c:axId val="586745897"/>
      </c:barChart>
      <c:catAx>
        <c:axId val="116603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86745897"/>
      </c:catAx>
      <c:valAx>
        <c:axId val="58674589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166037784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pass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TC_Result_Report!$D$146:$K$146</c:f>
            </c:strRef>
          </c:cat>
          <c:val>
            <c:numRef>
              <c:f>TC_Result_Report!$D$147:$K$147</c:f>
              <c:numCache/>
            </c:numRef>
          </c:val>
        </c:ser>
        <c:ser>
          <c:idx val="1"/>
          <c:order val="1"/>
          <c:tx>
            <c:v>faill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TC_Result_Report!$D$146:$K$146</c:f>
            </c:strRef>
          </c:cat>
          <c:val>
            <c:numRef>
              <c:f>TC_Result_Report!$D$148:$K$148</c:f>
              <c:numCache/>
            </c:numRef>
          </c:val>
        </c:ser>
        <c:axId val="297235930"/>
        <c:axId val="1681404094"/>
      </c:barChart>
      <c:catAx>
        <c:axId val="297235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1404094"/>
      </c:catAx>
      <c:valAx>
        <c:axId val="1681404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72359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</xdr:row>
      <xdr:rowOff>0</xdr:rowOff>
    </xdr:from>
    <xdr:ext cx="3067050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5</xdr:row>
      <xdr:rowOff>0</xdr:rowOff>
    </xdr:from>
    <xdr:ext cx="2914650" cy="27241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24</xdr:row>
      <xdr:rowOff>19050</xdr:rowOff>
    </xdr:from>
    <xdr:ext cx="6057900" cy="3095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9" width="8.57"/>
    <col customWidth="1" min="10" max="13" width="4.86"/>
    <col customWidth="1" min="14" max="16" width="3.71"/>
    <col customWidth="1" min="17" max="17" width="3.0"/>
    <col customWidth="1" min="18" max="25" width="8.57"/>
    <col customWidth="1" min="26" max="29" width="4.86"/>
    <col customWidth="1" min="30" max="32" width="3.71"/>
  </cols>
  <sheetData>
    <row r="1" ht="6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33.0" customHeight="1">
      <c r="A2" s="2"/>
      <c r="B2" s="10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7"/>
    </row>
    <row r="3" ht="6.0" customHeight="1">
      <c r="A3" s="2"/>
      <c r="B3" s="20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6"/>
      <c r="Q3" s="2"/>
      <c r="R3" s="20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6"/>
    </row>
    <row r="4" ht="22.5" customHeight="1">
      <c r="A4" s="2"/>
      <c r="B4" s="28" t="s">
        <v>17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  <c r="Q4" s="2"/>
      <c r="R4" s="28" t="s">
        <v>18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</row>
    <row r="5" ht="15.0" customHeight="1">
      <c r="A5" s="2"/>
      <c r="B5" s="31" t="s">
        <v>19</v>
      </c>
      <c r="C5" s="32"/>
      <c r="D5" s="34" t="s">
        <v>20</v>
      </c>
      <c r="E5" s="32"/>
      <c r="F5" s="34" t="s">
        <v>21</v>
      </c>
      <c r="G5" s="32"/>
      <c r="H5" s="34" t="s">
        <v>22</v>
      </c>
      <c r="I5" s="29"/>
      <c r="J5" s="29"/>
      <c r="K5" s="29"/>
      <c r="L5" s="29"/>
      <c r="M5" s="29"/>
      <c r="N5" s="29"/>
      <c r="O5" s="29"/>
      <c r="P5" s="30"/>
      <c r="Q5" s="2"/>
      <c r="R5" s="38" t="s">
        <v>23</v>
      </c>
      <c r="S5" s="32"/>
      <c r="T5" s="41" t="s">
        <v>24</v>
      </c>
      <c r="U5" s="29"/>
      <c r="V5" s="29"/>
      <c r="W5" s="29"/>
      <c r="X5" s="29"/>
      <c r="Y5" s="32"/>
      <c r="Z5" s="41" t="s">
        <v>25</v>
      </c>
      <c r="AA5" s="32"/>
      <c r="AB5" s="41" t="s">
        <v>27</v>
      </c>
      <c r="AC5" s="32"/>
      <c r="AD5" s="41" t="s">
        <v>21</v>
      </c>
      <c r="AE5" s="29"/>
      <c r="AF5" s="30"/>
    </row>
    <row r="6">
      <c r="A6" s="2"/>
      <c r="B6" s="44" t="s">
        <v>28</v>
      </c>
      <c r="C6" s="32"/>
      <c r="D6" s="45">
        <v>43999.0</v>
      </c>
      <c r="E6" s="32"/>
      <c r="F6" s="46" t="s">
        <v>29</v>
      </c>
      <c r="G6" s="32"/>
      <c r="H6" s="48" t="s">
        <v>30</v>
      </c>
      <c r="I6" s="29"/>
      <c r="J6" s="29"/>
      <c r="K6" s="29"/>
      <c r="L6" s="29"/>
      <c r="M6" s="29"/>
      <c r="N6" s="29"/>
      <c r="O6" s="29"/>
      <c r="P6" s="30"/>
      <c r="Q6" s="2"/>
      <c r="R6" s="51" t="s">
        <v>32</v>
      </c>
      <c r="S6" s="52"/>
      <c r="T6" s="55" t="s">
        <v>34</v>
      </c>
      <c r="U6" s="29"/>
      <c r="V6" s="29"/>
      <c r="W6" s="29"/>
      <c r="X6" s="29"/>
      <c r="Y6" s="32"/>
      <c r="Z6" s="57">
        <v>43999.0</v>
      </c>
      <c r="AA6" s="32"/>
      <c r="AB6" s="57"/>
      <c r="AC6" s="32"/>
      <c r="AD6" s="55"/>
      <c r="AE6" s="60" t="s">
        <v>37</v>
      </c>
      <c r="AF6" s="62"/>
    </row>
    <row r="7" ht="15.0" customHeight="1">
      <c r="A7" s="2"/>
      <c r="B7" s="44"/>
      <c r="C7" s="32"/>
      <c r="D7" s="46"/>
      <c r="E7" s="32"/>
      <c r="F7" s="46"/>
      <c r="G7" s="32"/>
      <c r="H7" s="48"/>
      <c r="I7" s="29"/>
      <c r="J7" s="29"/>
      <c r="K7" s="29"/>
      <c r="L7" s="29"/>
      <c r="M7" s="29"/>
      <c r="N7" s="29"/>
      <c r="O7" s="29"/>
      <c r="P7" s="30"/>
      <c r="Q7" s="2"/>
      <c r="R7" s="66"/>
      <c r="S7" s="67"/>
      <c r="T7" s="55" t="s">
        <v>40</v>
      </c>
      <c r="U7" s="29"/>
      <c r="V7" s="29"/>
      <c r="W7" s="29"/>
      <c r="X7" s="29"/>
      <c r="Y7" s="32"/>
      <c r="Z7" s="57">
        <v>43999.0</v>
      </c>
      <c r="AA7" s="32"/>
      <c r="AB7" s="57"/>
      <c r="AC7" s="32"/>
      <c r="AD7" s="55"/>
      <c r="AE7" s="60" t="s">
        <v>37</v>
      </c>
      <c r="AF7" s="62"/>
    </row>
    <row r="8" ht="14.25" customHeight="1">
      <c r="A8" s="2"/>
      <c r="B8" s="44"/>
      <c r="C8" s="32"/>
      <c r="D8" s="46"/>
      <c r="E8" s="32"/>
      <c r="F8" s="46"/>
      <c r="G8" s="32"/>
      <c r="H8" s="48"/>
      <c r="I8" s="29"/>
      <c r="J8" s="29"/>
      <c r="K8" s="29"/>
      <c r="L8" s="29"/>
      <c r="M8" s="29"/>
      <c r="N8" s="29"/>
      <c r="O8" s="29"/>
      <c r="P8" s="30"/>
      <c r="Q8" s="2"/>
      <c r="R8" s="51" t="s">
        <v>54</v>
      </c>
      <c r="S8" s="52"/>
      <c r="T8" s="55" t="s">
        <v>55</v>
      </c>
      <c r="U8" s="29"/>
      <c r="V8" s="29"/>
      <c r="W8" s="29"/>
      <c r="X8" s="29"/>
      <c r="Y8" s="32"/>
      <c r="Z8" s="57"/>
      <c r="AA8" s="32"/>
      <c r="AB8" s="57"/>
      <c r="AC8" s="32"/>
      <c r="AD8" s="55"/>
      <c r="AE8" s="60" t="s">
        <v>37</v>
      </c>
      <c r="AF8" s="62"/>
    </row>
    <row r="9" ht="15.0" customHeight="1">
      <c r="A9" s="2"/>
      <c r="B9" s="20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6"/>
      <c r="Q9" s="2"/>
      <c r="R9" s="77"/>
      <c r="S9" s="79"/>
      <c r="T9" s="55" t="s">
        <v>58</v>
      </c>
      <c r="U9" s="29"/>
      <c r="V9" s="29"/>
      <c r="W9" s="29"/>
      <c r="X9" s="29"/>
      <c r="Y9" s="32"/>
      <c r="Z9" s="57"/>
      <c r="AA9" s="32"/>
      <c r="AB9" s="57"/>
      <c r="AC9" s="32"/>
      <c r="AD9" s="55"/>
      <c r="AE9" s="60" t="s">
        <v>37</v>
      </c>
      <c r="AF9" s="62"/>
    </row>
    <row r="10" ht="22.5" customHeight="1">
      <c r="A10" s="2"/>
      <c r="B10" s="81" t="s">
        <v>59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4"/>
      <c r="Q10" s="2"/>
      <c r="R10" s="85" t="s">
        <v>60</v>
      </c>
      <c r="S10" s="32"/>
      <c r="T10" s="55" t="s">
        <v>62</v>
      </c>
      <c r="U10" s="29"/>
      <c r="V10" s="29"/>
      <c r="W10" s="29"/>
      <c r="X10" s="29"/>
      <c r="Y10" s="32"/>
      <c r="Z10" s="57"/>
      <c r="AA10" s="32"/>
      <c r="AB10" s="57"/>
      <c r="AC10" s="32"/>
      <c r="AD10" s="55"/>
      <c r="AE10" s="60" t="s">
        <v>37</v>
      </c>
      <c r="AF10" s="62"/>
    </row>
    <row r="11" ht="15.0" customHeight="1">
      <c r="A11" s="2"/>
      <c r="B11" s="89" t="s">
        <v>69</v>
      </c>
      <c r="C11" s="90"/>
      <c r="D11" s="91" t="s">
        <v>72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3"/>
      <c r="Q11" s="2"/>
      <c r="R11" s="20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6"/>
    </row>
    <row r="12" ht="15.0" customHeight="1">
      <c r="A12" s="2"/>
      <c r="B12" s="95"/>
      <c r="Q12" s="2"/>
      <c r="R12" s="28" t="s">
        <v>79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30"/>
    </row>
    <row r="13" ht="22.5" customHeight="1">
      <c r="A13" s="2"/>
      <c r="B13" s="106" t="s">
        <v>83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10"/>
      <c r="Q13" s="2"/>
      <c r="R13" s="112" t="s">
        <v>89</v>
      </c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8"/>
    </row>
    <row r="14" ht="15.0" customHeight="1">
      <c r="A14" s="2"/>
      <c r="B14" s="121" t="s">
        <v>90</v>
      </c>
      <c r="P14" s="123"/>
      <c r="Q14" s="2"/>
      <c r="R14" s="125" t="s">
        <v>91</v>
      </c>
      <c r="S14" s="29"/>
      <c r="T14" s="32"/>
      <c r="U14" s="128" t="s">
        <v>92</v>
      </c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30"/>
    </row>
    <row r="15" ht="15.0" customHeight="1">
      <c r="A15" s="2"/>
      <c r="B15" s="129" t="s">
        <v>93</v>
      </c>
      <c r="C15" s="83"/>
      <c r="D15" s="130"/>
      <c r="E15" s="41" t="s">
        <v>94</v>
      </c>
      <c r="F15" s="29"/>
      <c r="G15" s="29"/>
      <c r="H15" s="29"/>
      <c r="I15" s="32"/>
      <c r="J15" s="41" t="s">
        <v>95</v>
      </c>
      <c r="K15" s="29"/>
      <c r="L15" s="29"/>
      <c r="M15" s="29"/>
      <c r="N15" s="29"/>
      <c r="O15" s="29"/>
      <c r="P15" s="30"/>
      <c r="Q15" s="2"/>
      <c r="R15" s="131" t="s">
        <v>96</v>
      </c>
      <c r="S15" s="29"/>
      <c r="T15" s="32"/>
      <c r="U15" s="128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30"/>
    </row>
    <row r="16" ht="15.0" customHeight="1">
      <c r="A16" s="2"/>
      <c r="B16" s="133" t="s">
        <v>97</v>
      </c>
      <c r="C16" s="134"/>
      <c r="D16" s="52"/>
      <c r="E16" s="135" t="s">
        <v>98</v>
      </c>
      <c r="F16" s="29"/>
      <c r="G16" s="29"/>
      <c r="H16" s="29"/>
      <c r="I16" s="32"/>
      <c r="J16" s="136" t="s">
        <v>99</v>
      </c>
      <c r="K16" s="29"/>
      <c r="L16" s="29"/>
      <c r="M16" s="29"/>
      <c r="N16" s="29"/>
      <c r="O16" s="29"/>
      <c r="P16" s="30"/>
      <c r="Q16" s="2"/>
      <c r="R16" s="20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6"/>
    </row>
    <row r="17" ht="15.0" customHeight="1">
      <c r="A17" s="2"/>
      <c r="B17" s="77"/>
      <c r="D17" s="79"/>
      <c r="E17" s="135" t="s">
        <v>101</v>
      </c>
      <c r="F17" s="29"/>
      <c r="G17" s="29"/>
      <c r="H17" s="29"/>
      <c r="I17" s="32"/>
      <c r="J17" s="136" t="s">
        <v>99</v>
      </c>
      <c r="K17" s="29"/>
      <c r="L17" s="29"/>
      <c r="M17" s="29"/>
      <c r="N17" s="29"/>
      <c r="O17" s="29"/>
      <c r="P17" s="30"/>
      <c r="Q17" s="2"/>
      <c r="R17" s="112" t="s">
        <v>102</v>
      </c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8"/>
    </row>
    <row r="18" ht="15.0" customHeight="1">
      <c r="A18" s="2"/>
      <c r="B18" s="77"/>
      <c r="D18" s="79"/>
      <c r="E18" s="135" t="s">
        <v>105</v>
      </c>
      <c r="F18" s="29"/>
      <c r="G18" s="29"/>
      <c r="H18" s="29"/>
      <c r="I18" s="32"/>
      <c r="J18" s="136" t="s">
        <v>99</v>
      </c>
      <c r="K18" s="29"/>
      <c r="L18" s="29"/>
      <c r="M18" s="29"/>
      <c r="N18" s="29"/>
      <c r="O18" s="29"/>
      <c r="P18" s="30"/>
      <c r="Q18" s="2"/>
      <c r="R18" s="38" t="s">
        <v>106</v>
      </c>
      <c r="S18" s="29"/>
      <c r="T18" s="32"/>
      <c r="U18" s="41" t="s">
        <v>107</v>
      </c>
      <c r="V18" s="32"/>
      <c r="W18" s="41" t="s">
        <v>108</v>
      </c>
      <c r="X18" s="29"/>
      <c r="Y18" s="29"/>
      <c r="Z18" s="29"/>
      <c r="AA18" s="32"/>
      <c r="AB18" s="41" t="s">
        <v>109</v>
      </c>
      <c r="AC18" s="29"/>
      <c r="AD18" s="29"/>
      <c r="AE18" s="29"/>
      <c r="AF18" s="30"/>
    </row>
    <row r="19" ht="15.0" customHeight="1">
      <c r="A19" s="2"/>
      <c r="B19" s="77"/>
      <c r="D19" s="79"/>
      <c r="E19" s="135" t="s">
        <v>110</v>
      </c>
      <c r="F19" s="29"/>
      <c r="G19" s="29"/>
      <c r="H19" s="29"/>
      <c r="I19" s="32"/>
      <c r="J19" s="136" t="s">
        <v>99</v>
      </c>
      <c r="K19" s="29"/>
      <c r="L19" s="29"/>
      <c r="M19" s="29"/>
      <c r="N19" s="29"/>
      <c r="O19" s="29"/>
      <c r="P19" s="30"/>
      <c r="Q19" s="2"/>
      <c r="R19" s="141" t="s">
        <v>111</v>
      </c>
      <c r="S19" s="29"/>
      <c r="T19" s="32"/>
      <c r="U19" s="142" t="s">
        <v>112</v>
      </c>
      <c r="V19" s="32"/>
      <c r="W19" s="142" t="s">
        <v>113</v>
      </c>
      <c r="X19" s="29"/>
      <c r="Y19" s="29"/>
      <c r="Z19" s="29"/>
      <c r="AA19" s="32"/>
      <c r="AB19" s="142" t="s">
        <v>114</v>
      </c>
      <c r="AC19" s="29"/>
      <c r="AD19" s="29"/>
      <c r="AE19" s="29"/>
      <c r="AF19" s="30"/>
    </row>
    <row r="20" ht="15.0" customHeight="1">
      <c r="A20" s="2"/>
      <c r="B20" s="77"/>
      <c r="D20" s="79"/>
      <c r="E20" s="135" t="s">
        <v>115</v>
      </c>
      <c r="F20" s="29"/>
      <c r="G20" s="29"/>
      <c r="H20" s="29"/>
      <c r="I20" s="32"/>
      <c r="J20" s="136" t="s">
        <v>99</v>
      </c>
      <c r="K20" s="29"/>
      <c r="L20" s="29"/>
      <c r="M20" s="29"/>
      <c r="N20" s="29"/>
      <c r="O20" s="29"/>
      <c r="P20" s="30"/>
      <c r="Q20" s="2"/>
      <c r="R20" s="141" t="s">
        <v>116</v>
      </c>
      <c r="S20" s="29"/>
      <c r="T20" s="32"/>
      <c r="U20" s="142" t="s">
        <v>117</v>
      </c>
      <c r="V20" s="32"/>
      <c r="W20" s="142" t="s">
        <v>113</v>
      </c>
      <c r="X20" s="29"/>
      <c r="Y20" s="29"/>
      <c r="Z20" s="29"/>
      <c r="AA20" s="32"/>
      <c r="AB20" s="142" t="s">
        <v>114</v>
      </c>
      <c r="AC20" s="29"/>
      <c r="AD20" s="29"/>
      <c r="AE20" s="29"/>
      <c r="AF20" s="30"/>
    </row>
    <row r="21" ht="15.0" customHeight="1">
      <c r="A21" s="2"/>
      <c r="B21" s="77"/>
      <c r="D21" s="79"/>
      <c r="E21" s="135" t="s">
        <v>120</v>
      </c>
      <c r="F21" s="29"/>
      <c r="G21" s="29"/>
      <c r="H21" s="29"/>
      <c r="I21" s="32"/>
      <c r="J21" s="136" t="s">
        <v>99</v>
      </c>
      <c r="K21" s="29"/>
      <c r="L21" s="29"/>
      <c r="M21" s="29"/>
      <c r="N21" s="29"/>
      <c r="O21" s="29"/>
      <c r="P21" s="30"/>
      <c r="Q21" s="2"/>
      <c r="R21" s="145" t="s">
        <v>121</v>
      </c>
      <c r="S21" s="146"/>
      <c r="T21" s="90"/>
      <c r="U21" s="147" t="s">
        <v>117</v>
      </c>
      <c r="V21" s="90"/>
      <c r="W21" s="147" t="s">
        <v>113</v>
      </c>
      <c r="X21" s="146"/>
      <c r="Y21" s="146"/>
      <c r="Z21" s="146"/>
      <c r="AA21" s="90"/>
      <c r="AB21" s="147" t="s">
        <v>114</v>
      </c>
      <c r="AC21" s="146"/>
      <c r="AD21" s="146"/>
      <c r="AE21" s="146"/>
      <c r="AF21" s="151"/>
    </row>
    <row r="22" ht="15.0" customHeight="1">
      <c r="A22" s="2"/>
      <c r="B22" s="77"/>
      <c r="D22" s="79"/>
      <c r="E22" s="135" t="s">
        <v>122</v>
      </c>
      <c r="F22" s="29"/>
      <c r="G22" s="29"/>
      <c r="H22" s="29"/>
      <c r="I22" s="32"/>
      <c r="J22" s="136" t="s">
        <v>123</v>
      </c>
      <c r="K22" s="29"/>
      <c r="L22" s="29"/>
      <c r="M22" s="29"/>
      <c r="N22" s="29"/>
      <c r="O22" s="29"/>
      <c r="P22" s="3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0" customHeight="1">
      <c r="A23" s="2"/>
      <c r="B23" s="77"/>
      <c r="D23" s="79"/>
      <c r="E23" s="135" t="s">
        <v>124</v>
      </c>
      <c r="F23" s="29"/>
      <c r="G23" s="29"/>
      <c r="H23" s="29"/>
      <c r="I23" s="32"/>
      <c r="J23" s="136" t="s">
        <v>123</v>
      </c>
      <c r="K23" s="29"/>
      <c r="L23" s="29"/>
      <c r="M23" s="29"/>
      <c r="N23" s="29"/>
      <c r="O23" s="29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0" customHeight="1">
      <c r="A24" s="2"/>
      <c r="B24" s="77"/>
      <c r="D24" s="79"/>
      <c r="E24" s="135" t="s">
        <v>125</v>
      </c>
      <c r="F24" s="29"/>
      <c r="G24" s="29"/>
      <c r="H24" s="29"/>
      <c r="I24" s="32"/>
      <c r="J24" s="136"/>
      <c r="K24" s="153"/>
      <c r="L24" s="153"/>
      <c r="M24" s="153"/>
      <c r="N24" s="153"/>
      <c r="O24" s="153"/>
      <c r="P24" s="6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0" customHeight="1">
      <c r="A25" s="2"/>
      <c r="B25" s="77"/>
      <c r="D25" s="79"/>
      <c r="E25" s="154" t="s">
        <v>126</v>
      </c>
      <c r="F25" s="153"/>
      <c r="G25" s="153"/>
      <c r="H25" s="153"/>
      <c r="I25" s="155"/>
      <c r="J25" s="136"/>
      <c r="K25" s="153"/>
      <c r="L25" s="153"/>
      <c r="M25" s="153"/>
      <c r="N25" s="153"/>
      <c r="O25" s="153"/>
      <c r="P25" s="6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0" customHeight="1">
      <c r="A26" s="2"/>
      <c r="B26" s="66"/>
      <c r="C26" s="156"/>
      <c r="D26" s="67"/>
      <c r="E26" s="135" t="s">
        <v>127</v>
      </c>
      <c r="F26" s="29"/>
      <c r="G26" s="29"/>
      <c r="H26" s="29"/>
      <c r="I26" s="32"/>
      <c r="J26" s="136"/>
      <c r="K26" s="29"/>
      <c r="L26" s="29"/>
      <c r="M26" s="29"/>
      <c r="N26" s="29"/>
      <c r="O26" s="29"/>
      <c r="P26" s="3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0" customHeight="1">
      <c r="A27" s="2"/>
      <c r="B27" s="157"/>
      <c r="C27" s="158"/>
      <c r="D27" s="158"/>
      <c r="E27" s="159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60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0" customHeight="1">
      <c r="A28" s="2"/>
      <c r="B28" s="121" t="s">
        <v>128</v>
      </c>
      <c r="P28" s="12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0" customHeight="1">
      <c r="A29" s="2"/>
      <c r="B29" s="44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0" customHeight="1">
      <c r="A30" s="2"/>
      <c r="B30" s="157"/>
      <c r="P30" s="12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2.5" customHeight="1">
      <c r="A31" s="162"/>
      <c r="B31" s="163" t="s">
        <v>130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7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</row>
    <row r="32" ht="15.0" customHeight="1">
      <c r="A32" s="2"/>
      <c r="B32" s="164" t="s">
        <v>131</v>
      </c>
      <c r="C32" s="12"/>
      <c r="D32" s="165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6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0" customHeight="1">
      <c r="A33" s="23"/>
      <c r="B33" s="166" t="s">
        <v>132</v>
      </c>
      <c r="C33" s="167"/>
      <c r="D33" s="167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6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0" customHeight="1">
      <c r="A34" s="168"/>
      <c r="B34" s="169" t="s">
        <v>71</v>
      </c>
      <c r="C34" s="170"/>
      <c r="D34" s="171" t="s">
        <v>82</v>
      </c>
      <c r="E34" s="171" t="s">
        <v>133</v>
      </c>
      <c r="F34" s="171" t="s">
        <v>134</v>
      </c>
      <c r="G34" s="171" t="s">
        <v>85</v>
      </c>
      <c r="H34" s="172"/>
      <c r="I34" s="172"/>
      <c r="J34" s="172"/>
      <c r="K34" s="23"/>
      <c r="L34" s="23"/>
      <c r="M34" s="23"/>
      <c r="N34" s="23"/>
      <c r="O34" s="172"/>
      <c r="P34" s="17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0" customHeight="1">
      <c r="A35" s="168"/>
      <c r="B35" s="174" t="s">
        <v>135</v>
      </c>
      <c r="C35" s="32"/>
      <c r="D35" s="175" t="s">
        <v>136</v>
      </c>
      <c r="E35" s="175" t="s">
        <v>136</v>
      </c>
      <c r="F35" s="176" t="s">
        <v>114</v>
      </c>
      <c r="G35" s="176" t="s">
        <v>114</v>
      </c>
      <c r="H35" s="172"/>
      <c r="I35" s="172"/>
      <c r="J35" s="172"/>
      <c r="K35" s="172"/>
      <c r="L35" s="23"/>
      <c r="M35" s="23"/>
      <c r="N35" s="23"/>
      <c r="O35" s="172"/>
      <c r="P35" s="17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0" customHeight="1">
      <c r="A36" s="168"/>
      <c r="B36" s="174" t="s">
        <v>137</v>
      </c>
      <c r="C36" s="32"/>
      <c r="D36" s="176" t="s">
        <v>114</v>
      </c>
      <c r="E36" s="176" t="s">
        <v>114</v>
      </c>
      <c r="F36" s="176" t="s">
        <v>114</v>
      </c>
      <c r="G36" s="176" t="s">
        <v>114</v>
      </c>
      <c r="H36" s="23"/>
      <c r="I36" s="23"/>
      <c r="J36" s="172"/>
      <c r="K36" s="172"/>
      <c r="L36" s="23"/>
      <c r="M36" s="23"/>
      <c r="N36" s="23"/>
      <c r="O36" s="172"/>
      <c r="P36" s="17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9.0" customHeight="1">
      <c r="A37" s="168"/>
      <c r="B37" s="177"/>
      <c r="C37" s="162"/>
      <c r="D37" s="162"/>
      <c r="E37" s="172"/>
      <c r="F37" s="172"/>
      <c r="G37" s="172"/>
      <c r="H37" s="172"/>
      <c r="I37" s="23"/>
      <c r="J37" s="23"/>
      <c r="K37" s="23"/>
      <c r="L37" s="172"/>
      <c r="M37" s="172"/>
      <c r="N37" s="23"/>
      <c r="O37" s="23"/>
      <c r="P37" s="26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0" customHeight="1">
      <c r="A38" s="168"/>
      <c r="B38" s="178" t="s">
        <v>138</v>
      </c>
      <c r="C38" s="179"/>
      <c r="D38" s="179"/>
      <c r="E38" s="23"/>
      <c r="F38" s="23"/>
      <c r="G38" s="23"/>
      <c r="H38" s="23"/>
      <c r="I38" s="172"/>
      <c r="J38" s="172"/>
      <c r="K38" s="23"/>
      <c r="L38" s="23"/>
      <c r="M38" s="172"/>
      <c r="N38" s="172"/>
      <c r="O38" s="172"/>
      <c r="P38" s="26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0" customHeight="1">
      <c r="A39" s="168"/>
      <c r="B39" s="180" t="s">
        <v>139</v>
      </c>
      <c r="C39" s="32"/>
      <c r="D39" s="181" t="s">
        <v>140</v>
      </c>
      <c r="E39" s="171" t="s">
        <v>141</v>
      </c>
      <c r="F39" s="172"/>
      <c r="G39" s="23"/>
      <c r="H39" s="23"/>
      <c r="I39" s="23"/>
      <c r="J39" s="172"/>
      <c r="K39" s="172"/>
      <c r="L39" s="172"/>
      <c r="M39" s="23"/>
      <c r="N39" s="172"/>
      <c r="O39" s="172"/>
      <c r="P39" s="17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0" customHeight="1">
      <c r="A40" s="168"/>
      <c r="B40" s="174" t="s">
        <v>19</v>
      </c>
      <c r="C40" s="32"/>
      <c r="D40" s="176" t="s">
        <v>114</v>
      </c>
      <c r="E40" s="176" t="s">
        <v>114</v>
      </c>
      <c r="F40" s="172"/>
      <c r="G40" s="23"/>
      <c r="H40" s="23"/>
      <c r="I40" s="23"/>
      <c r="J40" s="172"/>
      <c r="K40" s="172"/>
      <c r="L40" s="172"/>
      <c r="M40" s="23"/>
      <c r="N40" s="172"/>
      <c r="O40" s="172"/>
      <c r="P40" s="17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0" customHeight="1">
      <c r="A41" s="168"/>
      <c r="B41" s="174" t="s">
        <v>135</v>
      </c>
      <c r="C41" s="32"/>
      <c r="D41" s="175" t="s">
        <v>136</v>
      </c>
      <c r="E41" s="175" t="s">
        <v>136</v>
      </c>
      <c r="F41" s="172"/>
      <c r="G41" s="23"/>
      <c r="H41" s="23"/>
      <c r="I41" s="23"/>
      <c r="J41" s="172"/>
      <c r="K41" s="172"/>
      <c r="L41" s="172"/>
      <c r="M41" s="23"/>
      <c r="N41" s="172"/>
      <c r="O41" s="172"/>
      <c r="P41" s="17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0" customHeight="1">
      <c r="A42" s="2"/>
      <c r="B42" s="182"/>
      <c r="C42" s="183"/>
      <c r="D42" s="183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2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2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03">
    <mergeCell ref="Z8:AA8"/>
    <mergeCell ref="Z9:AA9"/>
    <mergeCell ref="Z10:AA10"/>
    <mergeCell ref="Z5:AA5"/>
    <mergeCell ref="AB5:AC5"/>
    <mergeCell ref="Z6:AA6"/>
    <mergeCell ref="AB6:AC6"/>
    <mergeCell ref="Z7:AA7"/>
    <mergeCell ref="AB7:AC7"/>
    <mergeCell ref="AB8:AC8"/>
    <mergeCell ref="B2:AF2"/>
    <mergeCell ref="B4:P4"/>
    <mergeCell ref="R4:AF4"/>
    <mergeCell ref="D5:E5"/>
    <mergeCell ref="F5:G5"/>
    <mergeCell ref="H5:P5"/>
    <mergeCell ref="AD5:AF5"/>
    <mergeCell ref="F7:G7"/>
    <mergeCell ref="H7:P7"/>
    <mergeCell ref="B5:C5"/>
    <mergeCell ref="B6:C6"/>
    <mergeCell ref="D6:E6"/>
    <mergeCell ref="F6:G6"/>
    <mergeCell ref="H6:P6"/>
    <mergeCell ref="B7:C7"/>
    <mergeCell ref="D7:E7"/>
    <mergeCell ref="R8:S9"/>
    <mergeCell ref="R10:S10"/>
    <mergeCell ref="R5:S5"/>
    <mergeCell ref="T5:Y5"/>
    <mergeCell ref="R6:S7"/>
    <mergeCell ref="T6:Y6"/>
    <mergeCell ref="T7:Y7"/>
    <mergeCell ref="T8:Y8"/>
    <mergeCell ref="T9:Y9"/>
    <mergeCell ref="T10:Y10"/>
    <mergeCell ref="B8:C8"/>
    <mergeCell ref="D8:E8"/>
    <mergeCell ref="F8:G8"/>
    <mergeCell ref="H8:P8"/>
    <mergeCell ref="B10:P10"/>
    <mergeCell ref="B11:C11"/>
    <mergeCell ref="B12:P12"/>
    <mergeCell ref="W18:AA18"/>
    <mergeCell ref="AB18:AF18"/>
    <mergeCell ref="W19:AA19"/>
    <mergeCell ref="AB19:AF19"/>
    <mergeCell ref="W20:AA20"/>
    <mergeCell ref="AB20:AF20"/>
    <mergeCell ref="W21:AA21"/>
    <mergeCell ref="AB21:AF21"/>
    <mergeCell ref="AB9:AC9"/>
    <mergeCell ref="AB10:AC10"/>
    <mergeCell ref="R12:AF12"/>
    <mergeCell ref="R13:AF13"/>
    <mergeCell ref="U14:AF14"/>
    <mergeCell ref="U15:AF15"/>
    <mergeCell ref="R17:AF17"/>
    <mergeCell ref="J16:P16"/>
    <mergeCell ref="E17:I17"/>
    <mergeCell ref="J17:P17"/>
    <mergeCell ref="E24:I24"/>
    <mergeCell ref="E26:I26"/>
    <mergeCell ref="B13:P13"/>
    <mergeCell ref="B14:P14"/>
    <mergeCell ref="R14:T14"/>
    <mergeCell ref="B15:D15"/>
    <mergeCell ref="J15:P15"/>
    <mergeCell ref="R15:T15"/>
    <mergeCell ref="B16:D26"/>
    <mergeCell ref="B36:C36"/>
    <mergeCell ref="B39:C39"/>
    <mergeCell ref="B40:C40"/>
    <mergeCell ref="B41:C41"/>
    <mergeCell ref="J26:P26"/>
    <mergeCell ref="B28:P28"/>
    <mergeCell ref="B29:P29"/>
    <mergeCell ref="B30:P30"/>
    <mergeCell ref="B31:P31"/>
    <mergeCell ref="B32:D32"/>
    <mergeCell ref="B35:C35"/>
    <mergeCell ref="E15:I15"/>
    <mergeCell ref="E16:I16"/>
    <mergeCell ref="E18:I18"/>
    <mergeCell ref="J18:P18"/>
    <mergeCell ref="U18:V18"/>
    <mergeCell ref="R18:T18"/>
    <mergeCell ref="E19:I19"/>
    <mergeCell ref="J19:P19"/>
    <mergeCell ref="R19:T19"/>
    <mergeCell ref="U19:V19"/>
    <mergeCell ref="E20:I20"/>
    <mergeCell ref="J20:P20"/>
    <mergeCell ref="U20:V20"/>
    <mergeCell ref="R20:T20"/>
    <mergeCell ref="E21:I21"/>
    <mergeCell ref="J21:P21"/>
    <mergeCell ref="R21:T21"/>
    <mergeCell ref="U21:V21"/>
    <mergeCell ref="E22:I22"/>
    <mergeCell ref="J22:P22"/>
    <mergeCell ref="E23:I23"/>
    <mergeCell ref="J23:P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22.0"/>
    <col customWidth="1" min="4" max="4" width="49.14"/>
    <col customWidth="1" min="5" max="5" width="41.43"/>
    <col customWidth="1" min="6" max="7" width="45.0"/>
    <col customWidth="1" min="8" max="8" width="22.0"/>
    <col customWidth="1" min="9" max="9" width="11.0"/>
    <col customWidth="1" min="10" max="10" width="70.0"/>
    <col customWidth="1" min="11" max="26" width="8.4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5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5.25" customHeight="1">
      <c r="A3" s="6"/>
      <c r="B3" s="7"/>
      <c r="C3" s="7"/>
      <c r="D3" s="7"/>
      <c r="E3" s="7"/>
      <c r="F3" s="7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75" customHeight="1">
      <c r="A4" s="6"/>
      <c r="B4" s="8" t="s">
        <v>2</v>
      </c>
      <c r="C4" s="7"/>
      <c r="D4" s="7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7.5" customHeight="1">
      <c r="A5" s="6"/>
      <c r="B5" s="11" t="s">
        <v>3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79.5" customHeight="1">
      <c r="A6" s="6"/>
      <c r="B6" s="14"/>
      <c r="C6" s="18"/>
      <c r="D6" s="18"/>
      <c r="E6" s="18"/>
      <c r="F6" s="18"/>
      <c r="G6" s="18"/>
      <c r="H6" s="22"/>
      <c r="I6" s="14"/>
      <c r="J6" s="2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79.5" customHeight="1">
      <c r="A7" s="6"/>
      <c r="B7" s="14"/>
      <c r="C7" s="18"/>
      <c r="D7" s="18"/>
      <c r="E7" s="18"/>
      <c r="F7" s="18"/>
      <c r="G7" s="18"/>
      <c r="H7" s="22"/>
      <c r="I7" s="14"/>
      <c r="J7" s="2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79.5" customHeight="1">
      <c r="A8" s="6"/>
      <c r="B8" s="14"/>
      <c r="C8" s="18"/>
      <c r="D8" s="18"/>
      <c r="E8" s="18"/>
      <c r="F8" s="22"/>
      <c r="G8" s="18"/>
      <c r="H8" s="22"/>
      <c r="I8" s="14"/>
      <c r="J8" s="2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9.5" customHeight="1">
      <c r="A9" s="6"/>
      <c r="B9" s="14"/>
      <c r="C9" s="18"/>
      <c r="D9" s="18"/>
      <c r="E9" s="22"/>
      <c r="F9" s="22"/>
      <c r="G9" s="18"/>
      <c r="H9" s="22"/>
      <c r="I9" s="14"/>
      <c r="J9" s="2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9.5" customHeight="1">
      <c r="A10" s="6"/>
      <c r="B10" s="14"/>
      <c r="C10" s="18"/>
      <c r="D10" s="18"/>
      <c r="E10" s="18"/>
      <c r="F10" s="18"/>
      <c r="G10" s="18"/>
      <c r="H10" s="22"/>
      <c r="I10" s="14"/>
      <c r="J10" s="2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9.5" customHeight="1">
      <c r="A11" s="6"/>
      <c r="B11" s="14"/>
      <c r="C11" s="18"/>
      <c r="D11" s="18"/>
      <c r="E11" s="18"/>
      <c r="F11" s="22"/>
      <c r="G11" s="18"/>
      <c r="H11" s="22"/>
      <c r="I11" s="14"/>
      <c r="J11" s="2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9.5" customHeight="1">
      <c r="A12" s="6"/>
      <c r="B12" s="14"/>
      <c r="C12" s="22"/>
      <c r="D12" s="18"/>
      <c r="E12" s="18"/>
      <c r="F12" s="18"/>
      <c r="G12" s="18"/>
      <c r="H12" s="22"/>
      <c r="I12" s="14"/>
      <c r="J12" s="2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9.5" customHeight="1">
      <c r="A13" s="6"/>
      <c r="B13" s="14"/>
      <c r="C13" s="18"/>
      <c r="D13" s="18"/>
      <c r="E13" s="18"/>
      <c r="F13" s="18"/>
      <c r="G13" s="18"/>
      <c r="H13" s="22"/>
      <c r="I13" s="14"/>
      <c r="J13" s="2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79.5" customHeight="1">
      <c r="A14" s="6"/>
      <c r="B14" s="14"/>
      <c r="C14" s="18"/>
      <c r="D14" s="18"/>
      <c r="E14" s="18"/>
      <c r="F14" s="22"/>
      <c r="G14" s="18"/>
      <c r="H14" s="22"/>
      <c r="I14" s="14"/>
      <c r="J14" s="2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9.5" customHeight="1">
      <c r="A15" s="1"/>
      <c r="B15" s="14"/>
      <c r="C15" s="18"/>
      <c r="D15" s="18"/>
      <c r="E15" s="18"/>
      <c r="F15" s="18"/>
      <c r="G15" s="18"/>
      <c r="H15" s="22"/>
      <c r="I15" s="14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9.5" customHeight="1">
      <c r="A16" s="1"/>
      <c r="B16" s="14"/>
      <c r="C16" s="18"/>
      <c r="D16" s="18"/>
      <c r="E16" s="18"/>
      <c r="F16" s="18"/>
      <c r="G16" s="18"/>
      <c r="H16" s="22"/>
      <c r="I16" s="14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9.5" customHeight="1">
      <c r="A17" s="1"/>
      <c r="B17" s="42"/>
      <c r="C17" s="22"/>
      <c r="D17" s="18"/>
      <c r="E17" s="18"/>
      <c r="F17" s="18"/>
      <c r="G17" s="18"/>
      <c r="H17" s="22"/>
      <c r="I17" s="14"/>
      <c r="J17" s="2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9.5" customHeight="1">
      <c r="A18" s="1"/>
      <c r="B18" s="42"/>
      <c r="C18" s="22"/>
      <c r="D18" s="18"/>
      <c r="E18" s="18"/>
      <c r="F18" s="18"/>
      <c r="G18" s="18"/>
      <c r="H18" s="22"/>
      <c r="I18" s="14"/>
      <c r="J18" s="2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9.5" customHeight="1">
      <c r="A19" s="1"/>
      <c r="B19" s="42"/>
      <c r="C19" s="18"/>
      <c r="D19" s="18"/>
      <c r="E19" s="18"/>
      <c r="F19" s="18"/>
      <c r="G19" s="18"/>
      <c r="H19" s="22"/>
      <c r="I19" s="14"/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79.5" customHeight="1">
      <c r="A20" s="1"/>
      <c r="B20" s="42"/>
      <c r="C20" s="18"/>
      <c r="D20" s="18"/>
      <c r="E20" s="18"/>
      <c r="F20" s="18"/>
      <c r="G20" s="18"/>
      <c r="H20" s="22"/>
      <c r="I20" s="14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9.5" customHeight="1">
      <c r="A21" s="1"/>
      <c r="B21" s="42"/>
      <c r="C21" s="18"/>
      <c r="D21" s="18"/>
      <c r="E21" s="18"/>
      <c r="F21" s="18"/>
      <c r="G21" s="22"/>
      <c r="H21" s="22"/>
      <c r="I21" s="14"/>
      <c r="J21" s="2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54" t="s">
        <v>33</v>
      </c>
      <c r="C22" s="56"/>
      <c r="D22" s="56"/>
      <c r="E22" s="56"/>
      <c r="F22" s="56"/>
      <c r="G22" s="56"/>
      <c r="H22" s="59" t="s">
        <v>36</v>
      </c>
      <c r="I22" s="54"/>
      <c r="J22" s="6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8" t="s">
        <v>41</v>
      </c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4.5" customHeight="1">
      <c r="A26" s="1"/>
      <c r="B26" s="69" t="s">
        <v>42</v>
      </c>
      <c r="C26" s="11" t="s">
        <v>43</v>
      </c>
      <c r="D26" s="11" t="s">
        <v>44</v>
      </c>
      <c r="E26" s="11" t="s">
        <v>45</v>
      </c>
      <c r="F26" s="11" t="s">
        <v>46</v>
      </c>
      <c r="G26" s="11" t="s">
        <v>47</v>
      </c>
      <c r="H26" s="11" t="s">
        <v>48</v>
      </c>
      <c r="I26" s="11" t="s">
        <v>49</v>
      </c>
      <c r="J26" s="69" t="s">
        <v>50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5.0" customHeight="1">
      <c r="A27" s="1"/>
      <c r="B27" s="14"/>
      <c r="C27" s="22"/>
      <c r="D27" s="18"/>
      <c r="E27" s="18"/>
      <c r="F27" s="18"/>
      <c r="G27" s="18"/>
      <c r="H27" s="42"/>
      <c r="I27" s="14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5.0" customHeight="1">
      <c r="A28" s="1"/>
      <c r="B28" s="14"/>
      <c r="C28" s="18"/>
      <c r="D28" s="18"/>
      <c r="E28" s="18"/>
      <c r="F28" s="18"/>
      <c r="G28" s="18"/>
      <c r="H28" s="42"/>
      <c r="I28" s="14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5.0" customHeight="1">
      <c r="A29" s="1"/>
      <c r="B29" s="14"/>
      <c r="C29" s="18"/>
      <c r="D29" s="22"/>
      <c r="E29" s="22"/>
      <c r="F29" s="18"/>
      <c r="G29" s="18"/>
      <c r="H29" s="42"/>
      <c r="I29" s="1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75.0" customHeight="1">
      <c r="A30" s="1"/>
      <c r="B30" s="14"/>
      <c r="C30" s="18"/>
      <c r="D30" s="18"/>
      <c r="E30" s="18"/>
      <c r="F30" s="18"/>
      <c r="G30" s="18"/>
      <c r="H30" s="14"/>
      <c r="I30" s="14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75.0" customHeight="1">
      <c r="A31" s="1"/>
      <c r="B31" s="14"/>
      <c r="C31" s="18"/>
      <c r="D31" s="18"/>
      <c r="E31" s="18"/>
      <c r="F31" s="18"/>
      <c r="G31" s="22"/>
      <c r="H31" s="42"/>
      <c r="I31" s="14"/>
      <c r="J31" s="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8" t="s">
        <v>61</v>
      </c>
      <c r="C35" s="7"/>
      <c r="D35" s="7"/>
      <c r="E35" s="7"/>
      <c r="F35" s="7"/>
      <c r="G35" s="7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5.0" customHeight="1">
      <c r="A36" s="1"/>
      <c r="B36" s="88" t="s">
        <v>65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1"/>
      <c r="B38" s="11" t="s">
        <v>73</v>
      </c>
      <c r="C38" s="11" t="s">
        <v>74</v>
      </c>
      <c r="D38" s="11" t="s">
        <v>75</v>
      </c>
      <c r="E38" s="11" t="s">
        <v>10</v>
      </c>
      <c r="F38" s="11" t="s">
        <v>11</v>
      </c>
      <c r="G38" s="94"/>
      <c r="H38" s="94"/>
      <c r="I38" s="94"/>
      <c r="J38" s="9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0.0" customHeight="1">
      <c r="A39" s="1"/>
      <c r="B39" s="97"/>
      <c r="C39" s="98"/>
      <c r="D39" s="100"/>
      <c r="E39" s="100"/>
      <c r="F39" s="97"/>
      <c r="G39" s="101"/>
      <c r="H39" s="101"/>
      <c r="I39" s="101"/>
      <c r="J39" s="10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90.0" customHeight="1">
      <c r="A40" s="1"/>
      <c r="B40" s="103"/>
      <c r="C40" s="105"/>
      <c r="D40" s="108"/>
      <c r="E40" s="108"/>
      <c r="F40" s="103"/>
      <c r="G40" s="109"/>
      <c r="H40" s="109"/>
      <c r="I40" s="109"/>
      <c r="J40" s="10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90.0" customHeight="1">
      <c r="A41" s="1"/>
      <c r="B41" s="115"/>
      <c r="C41" s="117"/>
      <c r="D41" s="120"/>
      <c r="E41" s="120"/>
      <c r="F41" s="115"/>
      <c r="G41" s="124"/>
      <c r="H41" s="124"/>
      <c r="I41" s="124"/>
      <c r="J41" s="12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4" t="s">
        <v>33</v>
      </c>
      <c r="C42" s="56"/>
      <c r="D42" s="56"/>
      <c r="E42" s="59" t="s">
        <v>36</v>
      </c>
      <c r="F42" s="54"/>
      <c r="G42" s="56"/>
      <c r="H42" s="56"/>
      <c r="I42" s="56"/>
      <c r="J42" s="5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/>
      <c r="B43" s="7"/>
      <c r="C43" s="7"/>
      <c r="D43" s="7"/>
      <c r="E43" s="7"/>
      <c r="F43" s="7"/>
      <c r="G43" s="7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1"/>
      <c r="B44" s="7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7"/>
      <c r="C49" s="7"/>
      <c r="D49" s="7"/>
      <c r="E49" s="7"/>
      <c r="F49" s="7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6:J3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1.29"/>
    <col customWidth="1" min="2" max="2" width="19.43"/>
    <col customWidth="1" min="3" max="3" width="16.57"/>
    <col customWidth="1" min="4" max="4" width="14.0"/>
    <col customWidth="1" min="5" max="5" width="27.29"/>
    <col customWidth="1" min="6" max="6" width="50.43"/>
    <col customWidth="1" min="7" max="7" width="51.43"/>
    <col customWidth="1" min="8" max="8" width="61.43"/>
    <col customWidth="1" min="9" max="17" width="7.43"/>
    <col customWidth="1" min="18" max="18" width="9.0"/>
    <col customWidth="1" min="19" max="19" width="26.0"/>
    <col customWidth="1" min="20" max="26" width="6.57"/>
  </cols>
  <sheetData>
    <row r="1" ht="8.25" customHeight="1">
      <c r="A1" s="3"/>
      <c r="B1" s="4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3"/>
      <c r="T1" s="3"/>
      <c r="U1" s="3"/>
      <c r="V1" s="3"/>
      <c r="W1" s="3"/>
      <c r="X1" s="3"/>
      <c r="Y1" s="3"/>
      <c r="Z1" s="3"/>
    </row>
    <row r="2" ht="16.5" customHeight="1">
      <c r="A2" s="3"/>
      <c r="B2" s="9"/>
      <c r="C2" s="13" t="s">
        <v>4</v>
      </c>
      <c r="D2" s="15" t="s">
        <v>13</v>
      </c>
      <c r="E2" s="16"/>
      <c r="F2" s="19" t="s">
        <v>14</v>
      </c>
      <c r="G2" s="21"/>
      <c r="H2" s="25" t="s">
        <v>15</v>
      </c>
      <c r="I2" s="4"/>
      <c r="J2" s="4"/>
      <c r="K2" s="4"/>
      <c r="L2" s="4"/>
      <c r="M2" s="4"/>
      <c r="N2" s="4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27" t="s">
        <v>16</v>
      </c>
      <c r="C3" s="33">
        <f>COUNTA($I:$P)-11</f>
        <v>0</v>
      </c>
      <c r="D3" s="35">
        <f>100%</f>
        <v>1</v>
      </c>
      <c r="E3" s="36"/>
      <c r="F3" s="37"/>
      <c r="G3" s="39"/>
      <c r="H3" s="40"/>
      <c r="I3" s="4"/>
      <c r="J3" s="4"/>
      <c r="K3" s="4"/>
      <c r="L3" s="4"/>
      <c r="M3" s="4"/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27" t="s">
        <v>26</v>
      </c>
      <c r="C4" s="43">
        <f t="shared" ref="C4:C7" si="1">COUNTIF($I:$P,B4)</f>
        <v>0</v>
      </c>
      <c r="D4" s="47" t="str">
        <f>C4/C3</f>
        <v>#DIV/0!</v>
      </c>
      <c r="E4" s="36"/>
      <c r="F4" s="49" t="s">
        <v>26</v>
      </c>
      <c r="G4" s="50" t="s">
        <v>31</v>
      </c>
      <c r="H4" s="53"/>
      <c r="I4" s="4"/>
      <c r="J4" s="4"/>
      <c r="K4" s="4"/>
      <c r="L4" s="4"/>
      <c r="M4" s="4"/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27" t="s">
        <v>35</v>
      </c>
      <c r="C5" s="58">
        <f t="shared" si="1"/>
        <v>0</v>
      </c>
      <c r="D5" s="63" t="str">
        <f>C5/C3</f>
        <v>#DIV/0!</v>
      </c>
      <c r="E5" s="36"/>
      <c r="F5" s="64" t="s">
        <v>35</v>
      </c>
      <c r="G5" s="50" t="s">
        <v>38</v>
      </c>
      <c r="H5" s="65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27" t="s">
        <v>39</v>
      </c>
      <c r="C6" s="68">
        <f t="shared" si="1"/>
        <v>0</v>
      </c>
      <c r="D6" s="70" t="str">
        <f>C6/C3</f>
        <v>#DIV/0!</v>
      </c>
      <c r="E6" s="36"/>
      <c r="F6" s="71" t="s">
        <v>51</v>
      </c>
      <c r="G6" s="50" t="s">
        <v>52</v>
      </c>
      <c r="H6" s="65"/>
      <c r="I6" s="4"/>
      <c r="J6" s="4"/>
      <c r="K6" s="4"/>
      <c r="L6" s="4"/>
      <c r="M6" s="4"/>
      <c r="N6" s="4"/>
      <c r="O6" s="4"/>
      <c r="P6" s="4"/>
      <c r="Q6" s="4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72" t="s">
        <v>53</v>
      </c>
      <c r="C7" s="73">
        <f t="shared" si="1"/>
        <v>0</v>
      </c>
      <c r="D7" s="74"/>
      <c r="E7" s="75"/>
      <c r="F7" s="76" t="s">
        <v>56</v>
      </c>
      <c r="G7" s="78" t="s">
        <v>57</v>
      </c>
      <c r="H7" s="80"/>
      <c r="I7" s="4"/>
      <c r="J7" s="4"/>
      <c r="K7" s="4"/>
      <c r="L7" s="4"/>
      <c r="M7" s="4"/>
      <c r="N7" s="4"/>
      <c r="O7" s="4"/>
      <c r="P7" s="4"/>
      <c r="Q7" s="4"/>
      <c r="R7" s="3"/>
      <c r="S7" s="3"/>
      <c r="T7" s="3"/>
      <c r="U7" s="3"/>
      <c r="V7" s="3"/>
      <c r="W7" s="3"/>
      <c r="X7" s="3"/>
      <c r="Y7" s="3"/>
      <c r="Z7" s="3"/>
    </row>
    <row r="8" ht="7.5" customHeight="1">
      <c r="A8" s="3"/>
      <c r="B8" s="4"/>
      <c r="C8" s="4"/>
      <c r="D8" s="4"/>
      <c r="E8" s="4"/>
      <c r="F8" s="3"/>
      <c r="G8" s="3"/>
      <c r="H8" s="3"/>
      <c r="I8" s="82"/>
      <c r="J8" s="82"/>
      <c r="K8" s="4"/>
      <c r="L8" s="4"/>
      <c r="M8" s="4"/>
      <c r="N8" s="4"/>
      <c r="O8" s="4"/>
      <c r="P8" s="4"/>
      <c r="Q8" s="4"/>
      <c r="R8" s="4"/>
      <c r="S8" s="3"/>
      <c r="T8" s="3"/>
      <c r="U8" s="3"/>
      <c r="V8" s="3"/>
      <c r="W8" s="3"/>
      <c r="X8" s="3"/>
      <c r="Y8" s="3"/>
      <c r="Z8" s="3"/>
    </row>
    <row r="9" ht="11.25" customHeight="1">
      <c r="A9" s="3"/>
      <c r="B9" s="86" t="s">
        <v>42</v>
      </c>
      <c r="C9" s="87" t="s">
        <v>63</v>
      </c>
      <c r="D9" s="87" t="s">
        <v>64</v>
      </c>
      <c r="E9" s="87" t="s">
        <v>66</v>
      </c>
      <c r="F9" s="87" t="s">
        <v>67</v>
      </c>
      <c r="G9" s="87" t="s">
        <v>68</v>
      </c>
      <c r="H9" s="87" t="s">
        <v>70</v>
      </c>
      <c r="I9" s="92" t="s">
        <v>71</v>
      </c>
      <c r="J9" s="29"/>
      <c r="K9" s="29"/>
      <c r="L9" s="32"/>
      <c r="M9" s="92" t="s">
        <v>76</v>
      </c>
      <c r="N9" s="32"/>
      <c r="O9" s="92" t="s">
        <v>77</v>
      </c>
      <c r="P9" s="32"/>
      <c r="Q9" s="96" t="s">
        <v>78</v>
      </c>
      <c r="R9" s="96" t="s">
        <v>80</v>
      </c>
      <c r="S9" s="99" t="s">
        <v>81</v>
      </c>
      <c r="T9" s="3"/>
      <c r="U9" s="3"/>
      <c r="V9" s="3"/>
      <c r="W9" s="3"/>
      <c r="X9" s="3"/>
      <c r="Y9" s="3"/>
      <c r="Z9" s="3"/>
    </row>
    <row r="10" ht="22.5" customHeight="1">
      <c r="A10" s="3"/>
      <c r="B10" s="102"/>
      <c r="C10" s="102"/>
      <c r="D10" s="102"/>
      <c r="E10" s="102"/>
      <c r="F10" s="102"/>
      <c r="G10" s="102"/>
      <c r="H10" s="102"/>
      <c r="I10" s="104" t="s">
        <v>82</v>
      </c>
      <c r="J10" s="104" t="s">
        <v>84</v>
      </c>
      <c r="K10" s="104" t="s">
        <v>85</v>
      </c>
      <c r="L10" s="104" t="s">
        <v>86</v>
      </c>
      <c r="M10" s="104" t="s">
        <v>87</v>
      </c>
      <c r="N10" s="104" t="s">
        <v>82</v>
      </c>
      <c r="O10" s="104" t="s">
        <v>88</v>
      </c>
      <c r="P10" s="104" t="s">
        <v>82</v>
      </c>
      <c r="Q10" s="102"/>
      <c r="R10" s="102"/>
      <c r="S10" s="102"/>
      <c r="T10" s="3"/>
      <c r="U10" s="3"/>
      <c r="V10" s="3"/>
      <c r="W10" s="3"/>
      <c r="X10" s="3"/>
      <c r="Y10" s="3"/>
      <c r="Z10" s="3"/>
    </row>
    <row r="11" ht="14.25" customHeight="1">
      <c r="A11" s="111"/>
      <c r="B11" s="113"/>
      <c r="C11" s="116"/>
      <c r="D11" s="116"/>
      <c r="E11" s="116"/>
      <c r="F11" s="119"/>
      <c r="G11" s="116"/>
      <c r="H11" s="119"/>
      <c r="I11" s="122"/>
      <c r="J11" s="122"/>
      <c r="K11" s="122"/>
      <c r="L11" s="122"/>
      <c r="M11" s="122"/>
      <c r="N11" s="122"/>
      <c r="O11" s="122"/>
      <c r="P11" s="122"/>
      <c r="Q11" s="126"/>
      <c r="R11" s="116"/>
      <c r="S11" s="127"/>
      <c r="T11" s="111"/>
      <c r="U11" s="111"/>
      <c r="V11" s="111"/>
      <c r="W11" s="111"/>
      <c r="X11" s="111"/>
      <c r="Y11" s="111"/>
      <c r="Z11" s="111"/>
    </row>
    <row r="12" ht="14.25" customHeight="1">
      <c r="A12" s="111"/>
      <c r="B12" s="113"/>
      <c r="C12" s="116"/>
      <c r="D12" s="116"/>
      <c r="E12" s="116"/>
      <c r="F12" s="119"/>
      <c r="G12" s="116"/>
      <c r="H12" s="119"/>
      <c r="I12" s="122"/>
      <c r="J12" s="122"/>
      <c r="K12" s="122"/>
      <c r="L12" s="122"/>
      <c r="M12" s="122"/>
      <c r="N12" s="122"/>
      <c r="O12" s="122"/>
      <c r="P12" s="122"/>
      <c r="Q12" s="126"/>
      <c r="R12" s="116"/>
      <c r="S12" s="127"/>
      <c r="T12" s="111"/>
      <c r="U12" s="111"/>
      <c r="V12" s="111"/>
      <c r="W12" s="111"/>
      <c r="X12" s="111"/>
      <c r="Y12" s="111"/>
      <c r="Z12" s="111"/>
    </row>
    <row r="13" ht="14.25" customHeight="1">
      <c r="A13" s="111"/>
      <c r="B13" s="113"/>
      <c r="C13" s="116"/>
      <c r="D13" s="116"/>
      <c r="E13" s="116"/>
      <c r="F13" s="119"/>
      <c r="G13" s="116"/>
      <c r="H13" s="119"/>
      <c r="I13" s="122"/>
      <c r="J13" s="122"/>
      <c r="K13" s="122"/>
      <c r="L13" s="122"/>
      <c r="M13" s="122"/>
      <c r="N13" s="122"/>
      <c r="O13" s="122"/>
      <c r="P13" s="122"/>
      <c r="Q13" s="126"/>
      <c r="R13" s="116"/>
      <c r="S13" s="127"/>
      <c r="T13" s="111"/>
      <c r="U13" s="111"/>
      <c r="V13" s="111"/>
      <c r="W13" s="111"/>
      <c r="X13" s="111"/>
      <c r="Y13" s="111"/>
      <c r="Z13" s="111"/>
    </row>
    <row r="14" ht="14.25" customHeight="1">
      <c r="A14" s="111"/>
      <c r="B14" s="113"/>
      <c r="C14" s="116"/>
      <c r="D14" s="116"/>
      <c r="E14" s="116"/>
      <c r="F14" s="119"/>
      <c r="G14" s="116"/>
      <c r="H14" s="119"/>
      <c r="I14" s="122"/>
      <c r="J14" s="122"/>
      <c r="K14" s="122"/>
      <c r="L14" s="122"/>
      <c r="M14" s="122"/>
      <c r="N14" s="122"/>
      <c r="O14" s="122"/>
      <c r="P14" s="122"/>
      <c r="Q14" s="126"/>
      <c r="R14" s="116"/>
      <c r="S14" s="127"/>
      <c r="T14" s="111"/>
      <c r="U14" s="111"/>
      <c r="V14" s="111"/>
      <c r="W14" s="111"/>
      <c r="X14" s="111"/>
      <c r="Y14" s="111"/>
      <c r="Z14" s="111"/>
    </row>
    <row r="15" ht="14.25" customHeight="1">
      <c r="A15" s="111"/>
      <c r="B15" s="113"/>
      <c r="C15" s="116"/>
      <c r="D15" s="116"/>
      <c r="E15" s="116"/>
      <c r="F15" s="119"/>
      <c r="G15" s="116"/>
      <c r="H15" s="119"/>
      <c r="I15" s="122"/>
      <c r="J15" s="122"/>
      <c r="K15" s="122"/>
      <c r="L15" s="122"/>
      <c r="M15" s="122"/>
      <c r="N15" s="122"/>
      <c r="O15" s="122"/>
      <c r="P15" s="122"/>
      <c r="Q15" s="126"/>
      <c r="R15" s="116"/>
      <c r="S15" s="127"/>
      <c r="T15" s="111"/>
      <c r="U15" s="111"/>
      <c r="V15" s="111"/>
      <c r="W15" s="111"/>
      <c r="X15" s="111"/>
      <c r="Y15" s="111"/>
      <c r="Z15" s="111"/>
    </row>
    <row r="16" ht="14.25" customHeight="1">
      <c r="A16" s="111"/>
      <c r="B16" s="113"/>
      <c r="C16" s="116"/>
      <c r="D16" s="116"/>
      <c r="E16" s="116"/>
      <c r="F16" s="119"/>
      <c r="G16" s="116"/>
      <c r="H16" s="119"/>
      <c r="I16" s="122"/>
      <c r="J16" s="122"/>
      <c r="K16" s="122"/>
      <c r="L16" s="122"/>
      <c r="M16" s="122"/>
      <c r="N16" s="122"/>
      <c r="O16" s="122"/>
      <c r="P16" s="122"/>
      <c r="Q16" s="126"/>
      <c r="R16" s="116"/>
      <c r="S16" s="127"/>
      <c r="T16" s="111"/>
      <c r="U16" s="111"/>
      <c r="V16" s="111"/>
      <c r="W16" s="111"/>
      <c r="X16" s="111"/>
      <c r="Y16" s="111"/>
      <c r="Z16" s="111"/>
    </row>
    <row r="17" ht="14.25" customHeight="1">
      <c r="A17" s="111"/>
      <c r="B17" s="113"/>
      <c r="C17" s="116"/>
      <c r="D17" s="116"/>
      <c r="E17" s="116"/>
      <c r="F17" s="119"/>
      <c r="G17" s="116"/>
      <c r="H17" s="119"/>
      <c r="I17" s="122"/>
      <c r="J17" s="122"/>
      <c r="K17" s="122"/>
      <c r="L17" s="122"/>
      <c r="M17" s="122"/>
      <c r="N17" s="122"/>
      <c r="O17" s="122"/>
      <c r="P17" s="122"/>
      <c r="Q17" s="126"/>
      <c r="R17" s="116"/>
      <c r="S17" s="127"/>
      <c r="T17" s="111"/>
      <c r="U17" s="111"/>
      <c r="V17" s="111"/>
      <c r="W17" s="111"/>
      <c r="X17" s="111"/>
      <c r="Y17" s="111"/>
      <c r="Z17" s="111"/>
    </row>
    <row r="18" ht="14.25" customHeight="1">
      <c r="A18" s="111"/>
      <c r="B18" s="113"/>
      <c r="C18" s="116"/>
      <c r="D18" s="116"/>
      <c r="E18" s="116"/>
      <c r="F18" s="119"/>
      <c r="G18" s="116"/>
      <c r="H18" s="119"/>
      <c r="I18" s="122"/>
      <c r="J18" s="122"/>
      <c r="K18" s="122"/>
      <c r="L18" s="122"/>
      <c r="M18" s="122"/>
      <c r="N18" s="122"/>
      <c r="O18" s="122"/>
      <c r="P18" s="122"/>
      <c r="Q18" s="126"/>
      <c r="R18" s="116"/>
      <c r="S18" s="127"/>
      <c r="T18" s="111"/>
      <c r="U18" s="111"/>
      <c r="V18" s="111"/>
      <c r="W18" s="111"/>
      <c r="X18" s="111"/>
      <c r="Y18" s="111"/>
      <c r="Z18" s="111"/>
    </row>
    <row r="19" ht="14.25" customHeight="1">
      <c r="A19" s="111"/>
      <c r="B19" s="113"/>
      <c r="C19" s="116"/>
      <c r="D19" s="116"/>
      <c r="E19" s="116"/>
      <c r="F19" s="119"/>
      <c r="G19" s="116"/>
      <c r="H19" s="119"/>
      <c r="I19" s="122"/>
      <c r="J19" s="122"/>
      <c r="K19" s="122"/>
      <c r="L19" s="122"/>
      <c r="M19" s="122"/>
      <c r="N19" s="122"/>
      <c r="O19" s="122"/>
      <c r="P19" s="122"/>
      <c r="Q19" s="126"/>
      <c r="R19" s="116"/>
      <c r="S19" s="127"/>
      <c r="T19" s="111"/>
      <c r="U19" s="111"/>
      <c r="V19" s="111"/>
      <c r="W19" s="111"/>
      <c r="X19" s="111"/>
      <c r="Y19" s="111"/>
      <c r="Z19" s="111"/>
    </row>
    <row r="20" ht="14.25" customHeight="1">
      <c r="A20" s="111"/>
      <c r="B20" s="113"/>
      <c r="C20" s="116"/>
      <c r="D20" s="116"/>
      <c r="E20" s="116"/>
      <c r="F20" s="119"/>
      <c r="G20" s="116"/>
      <c r="H20" s="119"/>
      <c r="I20" s="122"/>
      <c r="J20" s="122"/>
      <c r="K20" s="122"/>
      <c r="L20" s="122"/>
      <c r="M20" s="122"/>
      <c r="N20" s="122"/>
      <c r="O20" s="122"/>
      <c r="P20" s="122"/>
      <c r="Q20" s="126"/>
      <c r="R20" s="116"/>
      <c r="S20" s="127"/>
      <c r="T20" s="111"/>
      <c r="U20" s="111"/>
      <c r="V20" s="111"/>
      <c r="W20" s="111"/>
      <c r="X20" s="111"/>
      <c r="Y20" s="111"/>
      <c r="Z20" s="111"/>
    </row>
    <row r="21" ht="12.0" customHeight="1">
      <c r="A21" s="111"/>
      <c r="B21" s="113"/>
      <c r="C21" s="116"/>
      <c r="D21" s="116"/>
      <c r="E21" s="116"/>
      <c r="F21" s="119"/>
      <c r="G21" s="116"/>
      <c r="H21" s="119"/>
      <c r="I21" s="122"/>
      <c r="J21" s="122"/>
      <c r="K21" s="122"/>
      <c r="L21" s="122"/>
      <c r="M21" s="122"/>
      <c r="N21" s="122"/>
      <c r="O21" s="122"/>
      <c r="P21" s="122"/>
      <c r="Q21" s="126"/>
      <c r="R21" s="116"/>
      <c r="S21" s="127"/>
      <c r="T21" s="111"/>
      <c r="U21" s="111"/>
      <c r="V21" s="111"/>
      <c r="W21" s="111"/>
      <c r="X21" s="111"/>
      <c r="Y21" s="111"/>
      <c r="Z21" s="111"/>
    </row>
    <row r="22" ht="12.0" customHeight="1">
      <c r="A22" s="111"/>
      <c r="B22" s="113"/>
      <c r="C22" s="116"/>
      <c r="D22" s="116"/>
      <c r="E22" s="116"/>
      <c r="F22" s="119"/>
      <c r="G22" s="116"/>
      <c r="H22" s="119"/>
      <c r="I22" s="122"/>
      <c r="J22" s="122"/>
      <c r="K22" s="122"/>
      <c r="L22" s="122"/>
      <c r="M22" s="122"/>
      <c r="N22" s="122"/>
      <c r="O22" s="122"/>
      <c r="P22" s="122"/>
      <c r="Q22" s="126"/>
      <c r="R22" s="116"/>
      <c r="S22" s="127"/>
      <c r="T22" s="111"/>
      <c r="U22" s="111"/>
      <c r="V22" s="111"/>
      <c r="W22" s="111"/>
      <c r="X22" s="111"/>
      <c r="Y22" s="111"/>
      <c r="Z22" s="111"/>
    </row>
    <row r="23" ht="12.0" customHeight="1">
      <c r="A23" s="111"/>
      <c r="B23" s="113"/>
      <c r="C23" s="116"/>
      <c r="D23" s="116"/>
      <c r="E23" s="116"/>
      <c r="F23" s="119"/>
      <c r="G23" s="116"/>
      <c r="H23" s="119"/>
      <c r="I23" s="122"/>
      <c r="J23" s="122"/>
      <c r="K23" s="122"/>
      <c r="L23" s="122"/>
      <c r="M23" s="122"/>
      <c r="N23" s="122"/>
      <c r="O23" s="122"/>
      <c r="P23" s="122"/>
      <c r="Q23" s="126"/>
      <c r="R23" s="116"/>
      <c r="S23" s="127"/>
      <c r="T23" s="111"/>
      <c r="U23" s="111"/>
      <c r="V23" s="111"/>
      <c r="W23" s="111"/>
      <c r="X23" s="111"/>
      <c r="Y23" s="111"/>
      <c r="Z23" s="111"/>
    </row>
    <row r="24" ht="12.0" customHeight="1">
      <c r="A24" s="111"/>
      <c r="B24" s="113"/>
      <c r="C24" s="116"/>
      <c r="D24" s="116"/>
      <c r="E24" s="116"/>
      <c r="F24" s="119"/>
      <c r="G24" s="116"/>
      <c r="H24" s="119"/>
      <c r="I24" s="122"/>
      <c r="J24" s="122"/>
      <c r="K24" s="122"/>
      <c r="L24" s="122"/>
      <c r="M24" s="122"/>
      <c r="N24" s="122"/>
      <c r="O24" s="122"/>
      <c r="P24" s="122"/>
      <c r="Q24" s="126"/>
      <c r="R24" s="116"/>
      <c r="S24" s="127"/>
      <c r="T24" s="111"/>
      <c r="U24" s="111"/>
      <c r="V24" s="111"/>
      <c r="W24" s="111"/>
      <c r="X24" s="111"/>
      <c r="Y24" s="111"/>
      <c r="Z24" s="111"/>
    </row>
    <row r="25" ht="12.0" customHeight="1">
      <c r="A25" s="111"/>
      <c r="B25" s="113"/>
      <c r="C25" s="116"/>
      <c r="D25" s="116"/>
      <c r="E25" s="116"/>
      <c r="F25" s="119"/>
      <c r="G25" s="116"/>
      <c r="H25" s="119"/>
      <c r="I25" s="122"/>
      <c r="J25" s="122"/>
      <c r="K25" s="122"/>
      <c r="L25" s="122"/>
      <c r="M25" s="122"/>
      <c r="N25" s="122"/>
      <c r="O25" s="122"/>
      <c r="P25" s="122"/>
      <c r="Q25" s="126"/>
      <c r="R25" s="116"/>
      <c r="S25" s="127"/>
      <c r="T25" s="111"/>
      <c r="U25" s="111"/>
      <c r="V25" s="111"/>
      <c r="W25" s="111"/>
      <c r="X25" s="111"/>
      <c r="Y25" s="111"/>
      <c r="Z25" s="111"/>
    </row>
    <row r="26" ht="12.0" customHeight="1">
      <c r="A26" s="111"/>
      <c r="B26" s="113"/>
      <c r="C26" s="116"/>
      <c r="D26" s="116"/>
      <c r="E26" s="116"/>
      <c r="F26" s="119"/>
      <c r="G26" s="116"/>
      <c r="H26" s="119"/>
      <c r="I26" s="122"/>
      <c r="J26" s="122"/>
      <c r="K26" s="122"/>
      <c r="L26" s="122"/>
      <c r="M26" s="122"/>
      <c r="N26" s="122"/>
      <c r="O26" s="122"/>
      <c r="P26" s="122"/>
      <c r="Q26" s="126"/>
      <c r="R26" s="116"/>
      <c r="S26" s="127"/>
      <c r="T26" s="111"/>
      <c r="U26" s="111"/>
      <c r="V26" s="111"/>
      <c r="W26" s="111"/>
      <c r="X26" s="111"/>
      <c r="Y26" s="111"/>
      <c r="Z26" s="111"/>
    </row>
    <row r="27" ht="12.0" customHeight="1">
      <c r="A27" s="111"/>
      <c r="B27" s="113"/>
      <c r="C27" s="116"/>
      <c r="D27" s="116"/>
      <c r="E27" s="116"/>
      <c r="F27" s="119"/>
      <c r="G27" s="116"/>
      <c r="H27" s="119"/>
      <c r="I27" s="122"/>
      <c r="J27" s="122"/>
      <c r="K27" s="122"/>
      <c r="L27" s="122"/>
      <c r="M27" s="122"/>
      <c r="N27" s="122"/>
      <c r="O27" s="122"/>
      <c r="P27" s="122"/>
      <c r="Q27" s="126"/>
      <c r="R27" s="116"/>
      <c r="S27" s="127"/>
      <c r="T27" s="111"/>
      <c r="U27" s="111"/>
      <c r="V27" s="111"/>
      <c r="W27" s="111"/>
      <c r="X27" s="111"/>
      <c r="Y27" s="111"/>
      <c r="Z27" s="111"/>
    </row>
    <row r="28" ht="12.0" customHeight="1">
      <c r="A28" s="111"/>
      <c r="B28" s="113"/>
      <c r="C28" s="116"/>
      <c r="D28" s="116"/>
      <c r="E28" s="116"/>
      <c r="F28" s="119"/>
      <c r="G28" s="116"/>
      <c r="H28" s="119"/>
      <c r="I28" s="122"/>
      <c r="J28" s="122"/>
      <c r="K28" s="122"/>
      <c r="L28" s="122"/>
      <c r="M28" s="122"/>
      <c r="N28" s="122"/>
      <c r="O28" s="122"/>
      <c r="P28" s="122"/>
      <c r="Q28" s="126"/>
      <c r="R28" s="116"/>
      <c r="S28" s="127"/>
      <c r="T28" s="111"/>
      <c r="U28" s="111"/>
      <c r="V28" s="111"/>
      <c r="W28" s="111"/>
      <c r="X28" s="111"/>
      <c r="Y28" s="111"/>
      <c r="Z28" s="111"/>
    </row>
    <row r="29" ht="12.0" customHeight="1">
      <c r="A29" s="111"/>
      <c r="B29" s="113"/>
      <c r="C29" s="116"/>
      <c r="D29" s="116"/>
      <c r="E29" s="116"/>
      <c r="F29" s="119"/>
      <c r="G29" s="116"/>
      <c r="H29" s="119"/>
      <c r="I29" s="122"/>
      <c r="J29" s="122"/>
      <c r="K29" s="122"/>
      <c r="L29" s="122"/>
      <c r="M29" s="122"/>
      <c r="N29" s="122"/>
      <c r="O29" s="122"/>
      <c r="P29" s="122"/>
      <c r="Q29" s="126"/>
      <c r="R29" s="116"/>
      <c r="S29" s="127"/>
      <c r="T29" s="111"/>
      <c r="U29" s="111"/>
      <c r="V29" s="111"/>
      <c r="W29" s="111"/>
      <c r="X29" s="111"/>
      <c r="Y29" s="111"/>
      <c r="Z29" s="111"/>
    </row>
    <row r="30" ht="12.0" customHeight="1">
      <c r="A30" s="111"/>
      <c r="B30" s="113"/>
      <c r="C30" s="116"/>
      <c r="D30" s="116"/>
      <c r="E30" s="116"/>
      <c r="F30" s="119"/>
      <c r="G30" s="116"/>
      <c r="H30" s="119"/>
      <c r="I30" s="122"/>
      <c r="J30" s="122"/>
      <c r="K30" s="122"/>
      <c r="L30" s="122"/>
      <c r="M30" s="122"/>
      <c r="N30" s="122"/>
      <c r="O30" s="122"/>
      <c r="P30" s="122"/>
      <c r="Q30" s="126"/>
      <c r="R30" s="116"/>
      <c r="S30" s="127"/>
      <c r="T30" s="111"/>
      <c r="U30" s="111"/>
      <c r="V30" s="111"/>
      <c r="W30" s="111"/>
      <c r="X30" s="111"/>
      <c r="Y30" s="111"/>
      <c r="Z30" s="111"/>
    </row>
    <row r="31" ht="12.0" customHeight="1">
      <c r="A31" s="111"/>
      <c r="B31" s="113"/>
      <c r="C31" s="116"/>
      <c r="D31" s="116"/>
      <c r="E31" s="116"/>
      <c r="F31" s="119"/>
      <c r="G31" s="116"/>
      <c r="H31" s="119"/>
      <c r="I31" s="122"/>
      <c r="J31" s="122"/>
      <c r="K31" s="122"/>
      <c r="L31" s="122"/>
      <c r="M31" s="122"/>
      <c r="N31" s="122"/>
      <c r="O31" s="122"/>
      <c r="P31" s="122"/>
      <c r="Q31" s="126"/>
      <c r="R31" s="116"/>
      <c r="S31" s="127"/>
      <c r="T31" s="111"/>
      <c r="U31" s="111"/>
      <c r="V31" s="111"/>
      <c r="W31" s="111"/>
      <c r="X31" s="111"/>
      <c r="Y31" s="111"/>
      <c r="Z31" s="111"/>
    </row>
    <row r="32" ht="12.0" customHeight="1">
      <c r="A32" s="111"/>
      <c r="B32" s="113"/>
      <c r="C32" s="116"/>
      <c r="D32" s="116"/>
      <c r="E32" s="116"/>
      <c r="F32" s="119"/>
      <c r="G32" s="116"/>
      <c r="H32" s="119"/>
      <c r="I32" s="122"/>
      <c r="J32" s="122"/>
      <c r="K32" s="122"/>
      <c r="L32" s="122"/>
      <c r="M32" s="122"/>
      <c r="N32" s="122"/>
      <c r="O32" s="122"/>
      <c r="P32" s="122"/>
      <c r="Q32" s="126"/>
      <c r="R32" s="116"/>
      <c r="S32" s="127"/>
      <c r="T32" s="111"/>
      <c r="U32" s="111"/>
      <c r="V32" s="111"/>
      <c r="W32" s="111"/>
      <c r="X32" s="111"/>
      <c r="Y32" s="111"/>
      <c r="Z32" s="111"/>
    </row>
    <row r="33" ht="12.0" customHeight="1">
      <c r="A33" s="111"/>
      <c r="B33" s="113"/>
      <c r="C33" s="116"/>
      <c r="D33" s="116"/>
      <c r="E33" s="116"/>
      <c r="F33" s="119"/>
      <c r="G33" s="116"/>
      <c r="H33" s="119"/>
      <c r="I33" s="122"/>
      <c r="J33" s="122"/>
      <c r="K33" s="122"/>
      <c r="L33" s="122"/>
      <c r="M33" s="122"/>
      <c r="N33" s="122"/>
      <c r="O33" s="122"/>
      <c r="P33" s="122"/>
      <c r="Q33" s="126"/>
      <c r="R33" s="116"/>
      <c r="S33" s="127"/>
      <c r="T33" s="111"/>
      <c r="U33" s="111"/>
      <c r="V33" s="111"/>
      <c r="W33" s="111"/>
      <c r="X33" s="111"/>
      <c r="Y33" s="111"/>
      <c r="Z33" s="111"/>
    </row>
    <row r="34" ht="12.0" customHeight="1">
      <c r="A34" s="111"/>
      <c r="B34" s="113"/>
      <c r="C34" s="116"/>
      <c r="D34" s="116"/>
      <c r="E34" s="116"/>
      <c r="F34" s="119"/>
      <c r="G34" s="116"/>
      <c r="H34" s="119"/>
      <c r="I34" s="122"/>
      <c r="J34" s="122"/>
      <c r="K34" s="122"/>
      <c r="L34" s="122"/>
      <c r="M34" s="122"/>
      <c r="N34" s="122"/>
      <c r="O34" s="122"/>
      <c r="P34" s="122"/>
      <c r="Q34" s="126"/>
      <c r="R34" s="116"/>
      <c r="S34" s="127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113"/>
      <c r="C35" s="116"/>
      <c r="D35" s="116"/>
      <c r="E35" s="116"/>
      <c r="F35" s="119"/>
      <c r="G35" s="116"/>
      <c r="H35" s="119"/>
      <c r="I35" s="122"/>
      <c r="J35" s="122"/>
      <c r="K35" s="122"/>
      <c r="L35" s="122"/>
      <c r="M35" s="122"/>
      <c r="N35" s="122"/>
      <c r="O35" s="122"/>
      <c r="P35" s="122"/>
      <c r="Q35" s="126"/>
      <c r="R35" s="116"/>
      <c r="S35" s="127"/>
      <c r="T35" s="111"/>
      <c r="U35" s="111"/>
      <c r="V35" s="111"/>
      <c r="W35" s="111"/>
      <c r="X35" s="111"/>
      <c r="Y35" s="111"/>
      <c r="Z35" s="111"/>
    </row>
    <row r="36" ht="12.0" customHeight="1">
      <c r="A36" s="111"/>
      <c r="B36" s="113"/>
      <c r="C36" s="116"/>
      <c r="D36" s="116"/>
      <c r="E36" s="116"/>
      <c r="F36" s="119"/>
      <c r="G36" s="116"/>
      <c r="H36" s="119"/>
      <c r="I36" s="122"/>
      <c r="J36" s="122"/>
      <c r="K36" s="122"/>
      <c r="L36" s="122"/>
      <c r="M36" s="122"/>
      <c r="N36" s="122"/>
      <c r="O36" s="122"/>
      <c r="P36" s="122"/>
      <c r="Q36" s="126"/>
      <c r="R36" s="116"/>
      <c r="S36" s="127"/>
      <c r="T36" s="111"/>
      <c r="U36" s="111"/>
      <c r="V36" s="111"/>
      <c r="W36" s="111"/>
      <c r="X36" s="111"/>
      <c r="Y36" s="111"/>
      <c r="Z36" s="111"/>
    </row>
    <row r="37" ht="12.0" customHeight="1">
      <c r="A37" s="111"/>
      <c r="B37" s="113"/>
      <c r="C37" s="116"/>
      <c r="D37" s="116"/>
      <c r="E37" s="116"/>
      <c r="F37" s="119"/>
      <c r="G37" s="116"/>
      <c r="H37" s="119"/>
      <c r="I37" s="122"/>
      <c r="J37" s="122"/>
      <c r="K37" s="122"/>
      <c r="L37" s="122"/>
      <c r="M37" s="122"/>
      <c r="N37" s="122"/>
      <c r="O37" s="122"/>
      <c r="P37" s="122"/>
      <c r="Q37" s="126"/>
      <c r="R37" s="116"/>
      <c r="S37" s="127"/>
      <c r="T37" s="111"/>
      <c r="U37" s="111"/>
      <c r="V37" s="111"/>
      <c r="W37" s="111"/>
      <c r="X37" s="111"/>
      <c r="Y37" s="111"/>
      <c r="Z37" s="111"/>
    </row>
    <row r="38" ht="12.0" customHeight="1">
      <c r="A38" s="111"/>
      <c r="B38" s="113"/>
      <c r="C38" s="116"/>
      <c r="D38" s="116"/>
      <c r="E38" s="116"/>
      <c r="F38" s="119"/>
      <c r="G38" s="116"/>
      <c r="H38" s="119"/>
      <c r="I38" s="122"/>
      <c r="J38" s="122"/>
      <c r="K38" s="122"/>
      <c r="L38" s="122"/>
      <c r="M38" s="122"/>
      <c r="N38" s="122"/>
      <c r="O38" s="122"/>
      <c r="P38" s="122"/>
      <c r="Q38" s="126"/>
      <c r="R38" s="116"/>
      <c r="S38" s="127"/>
      <c r="T38" s="111"/>
      <c r="U38" s="111"/>
      <c r="V38" s="111"/>
      <c r="W38" s="111"/>
      <c r="X38" s="111"/>
      <c r="Y38" s="111"/>
      <c r="Z38" s="111"/>
    </row>
    <row r="39" ht="12.0" customHeight="1">
      <c r="A39" s="111"/>
      <c r="B39" s="113"/>
      <c r="C39" s="116"/>
      <c r="D39" s="116"/>
      <c r="E39" s="116"/>
      <c r="F39" s="119"/>
      <c r="G39" s="116"/>
      <c r="H39" s="119"/>
      <c r="I39" s="122"/>
      <c r="J39" s="122"/>
      <c r="K39" s="122"/>
      <c r="L39" s="122"/>
      <c r="M39" s="122"/>
      <c r="N39" s="122"/>
      <c r="O39" s="122"/>
      <c r="P39" s="122"/>
      <c r="Q39" s="126"/>
      <c r="R39" s="116"/>
      <c r="S39" s="127"/>
      <c r="T39" s="111"/>
      <c r="U39" s="111"/>
      <c r="V39" s="111"/>
      <c r="W39" s="111"/>
      <c r="X39" s="111"/>
      <c r="Y39" s="111"/>
      <c r="Z39" s="111"/>
    </row>
    <row r="40" ht="12.0" customHeight="1">
      <c r="A40" s="111"/>
      <c r="B40" s="113"/>
      <c r="C40" s="116"/>
      <c r="D40" s="116"/>
      <c r="E40" s="116"/>
      <c r="F40" s="119"/>
      <c r="G40" s="116"/>
      <c r="H40" s="119"/>
      <c r="I40" s="122"/>
      <c r="J40" s="122"/>
      <c r="K40" s="122"/>
      <c r="L40" s="122"/>
      <c r="M40" s="122"/>
      <c r="N40" s="122"/>
      <c r="O40" s="122"/>
      <c r="P40" s="122"/>
      <c r="Q40" s="126"/>
      <c r="R40" s="116"/>
      <c r="S40" s="127"/>
      <c r="T40" s="111"/>
      <c r="U40" s="111"/>
      <c r="V40" s="111"/>
      <c r="W40" s="111"/>
      <c r="X40" s="111"/>
      <c r="Y40" s="111"/>
      <c r="Z40" s="111"/>
    </row>
    <row r="41" ht="12.0" customHeight="1">
      <c r="A41" s="111"/>
      <c r="B41" s="113"/>
      <c r="C41" s="116"/>
      <c r="D41" s="116"/>
      <c r="E41" s="116"/>
      <c r="F41" s="119"/>
      <c r="G41" s="116"/>
      <c r="H41" s="119"/>
      <c r="I41" s="122"/>
      <c r="J41" s="122"/>
      <c r="K41" s="122"/>
      <c r="L41" s="122"/>
      <c r="M41" s="122"/>
      <c r="N41" s="122"/>
      <c r="O41" s="122"/>
      <c r="P41" s="122"/>
      <c r="Q41" s="126"/>
      <c r="R41" s="116"/>
      <c r="S41" s="127"/>
      <c r="T41" s="111"/>
      <c r="U41" s="111"/>
      <c r="V41" s="111"/>
      <c r="W41" s="111"/>
      <c r="X41" s="111"/>
      <c r="Y41" s="111"/>
      <c r="Z41" s="111"/>
    </row>
    <row r="42" ht="12.0" customHeight="1">
      <c r="A42" s="111"/>
      <c r="B42" s="113"/>
      <c r="C42" s="116"/>
      <c r="D42" s="116"/>
      <c r="E42" s="116"/>
      <c r="F42" s="119"/>
      <c r="G42" s="116"/>
      <c r="H42" s="119"/>
      <c r="I42" s="122"/>
      <c r="J42" s="122"/>
      <c r="K42" s="122"/>
      <c r="L42" s="122"/>
      <c r="M42" s="122"/>
      <c r="N42" s="122"/>
      <c r="O42" s="122"/>
      <c r="P42" s="122"/>
      <c r="Q42" s="126"/>
      <c r="R42" s="116"/>
      <c r="S42" s="127"/>
      <c r="T42" s="111"/>
      <c r="U42" s="111"/>
      <c r="V42" s="111"/>
      <c r="W42" s="111"/>
      <c r="X42" s="111"/>
      <c r="Y42" s="111"/>
      <c r="Z42" s="111"/>
    </row>
    <row r="43" ht="12.0" customHeight="1">
      <c r="A43" s="111"/>
      <c r="B43" s="113"/>
      <c r="C43" s="116"/>
      <c r="D43" s="116"/>
      <c r="E43" s="116"/>
      <c r="F43" s="119"/>
      <c r="G43" s="116"/>
      <c r="H43" s="119"/>
      <c r="I43" s="122"/>
      <c r="J43" s="122"/>
      <c r="K43" s="122"/>
      <c r="L43" s="122"/>
      <c r="M43" s="122"/>
      <c r="N43" s="122"/>
      <c r="O43" s="122"/>
      <c r="P43" s="122"/>
      <c r="Q43" s="126"/>
      <c r="R43" s="116"/>
      <c r="S43" s="127"/>
      <c r="T43" s="111"/>
      <c r="U43" s="111"/>
      <c r="V43" s="111"/>
      <c r="W43" s="111"/>
      <c r="X43" s="111"/>
      <c r="Y43" s="111"/>
      <c r="Z43" s="111"/>
    </row>
    <row r="44" ht="12.0" customHeight="1">
      <c r="A44" s="111"/>
      <c r="B44" s="113"/>
      <c r="C44" s="116"/>
      <c r="D44" s="116"/>
      <c r="E44" s="116"/>
      <c r="F44" s="119"/>
      <c r="G44" s="116"/>
      <c r="H44" s="119"/>
      <c r="I44" s="122"/>
      <c r="J44" s="122"/>
      <c r="K44" s="122"/>
      <c r="L44" s="122"/>
      <c r="M44" s="122"/>
      <c r="N44" s="122"/>
      <c r="O44" s="122"/>
      <c r="P44" s="122"/>
      <c r="Q44" s="126"/>
      <c r="R44" s="116"/>
      <c r="S44" s="127"/>
      <c r="T44" s="111"/>
      <c r="U44" s="111"/>
      <c r="V44" s="111"/>
      <c r="W44" s="111"/>
      <c r="X44" s="111"/>
      <c r="Y44" s="111"/>
      <c r="Z44" s="111"/>
    </row>
    <row r="45" ht="12.0" customHeight="1">
      <c r="A45" s="111"/>
      <c r="B45" s="113"/>
      <c r="C45" s="116"/>
      <c r="D45" s="116"/>
      <c r="E45" s="116"/>
      <c r="F45" s="119"/>
      <c r="G45" s="116"/>
      <c r="H45" s="119"/>
      <c r="I45" s="122"/>
      <c r="J45" s="122"/>
      <c r="K45" s="122"/>
      <c r="L45" s="122"/>
      <c r="M45" s="122"/>
      <c r="N45" s="122"/>
      <c r="O45" s="122"/>
      <c r="P45" s="122"/>
      <c r="Q45" s="126"/>
      <c r="R45" s="116"/>
      <c r="S45" s="127"/>
      <c r="T45" s="111"/>
      <c r="U45" s="111"/>
      <c r="V45" s="111"/>
      <c r="W45" s="111"/>
      <c r="X45" s="111"/>
      <c r="Y45" s="111"/>
      <c r="Z45" s="111"/>
    </row>
    <row r="46" ht="12.0" customHeight="1">
      <c r="A46" s="111"/>
      <c r="B46" s="113"/>
      <c r="C46" s="116"/>
      <c r="D46" s="116"/>
      <c r="E46" s="116"/>
      <c r="F46" s="119"/>
      <c r="G46" s="116"/>
      <c r="H46" s="119"/>
      <c r="I46" s="122"/>
      <c r="J46" s="122"/>
      <c r="K46" s="122"/>
      <c r="L46" s="122"/>
      <c r="M46" s="122"/>
      <c r="N46" s="122"/>
      <c r="O46" s="122"/>
      <c r="P46" s="122"/>
      <c r="Q46" s="126"/>
      <c r="R46" s="116"/>
      <c r="S46" s="127"/>
      <c r="T46" s="111"/>
      <c r="U46" s="111"/>
      <c r="V46" s="111"/>
      <c r="W46" s="111"/>
      <c r="X46" s="111"/>
      <c r="Y46" s="111"/>
      <c r="Z46" s="111"/>
    </row>
    <row r="47" ht="12.0" customHeight="1">
      <c r="A47" s="111"/>
      <c r="B47" s="113"/>
      <c r="C47" s="116"/>
      <c r="D47" s="116"/>
      <c r="E47" s="116"/>
      <c r="F47" s="116"/>
      <c r="G47" s="116"/>
      <c r="H47" s="116"/>
      <c r="I47" s="122"/>
      <c r="J47" s="122"/>
      <c r="K47" s="122"/>
      <c r="L47" s="122"/>
      <c r="M47" s="122"/>
      <c r="N47" s="122"/>
      <c r="O47" s="122"/>
      <c r="P47" s="122"/>
      <c r="Q47" s="126"/>
      <c r="R47" s="116"/>
      <c r="S47" s="127"/>
      <c r="T47" s="3"/>
      <c r="U47" s="3"/>
      <c r="V47" s="3"/>
      <c r="W47" s="3"/>
      <c r="X47" s="3"/>
      <c r="Y47" s="3"/>
      <c r="Z47" s="3"/>
    </row>
    <row r="48" ht="12.0" customHeight="1">
      <c r="A48" s="111"/>
      <c r="B48" s="113"/>
      <c r="C48" s="116"/>
      <c r="D48" s="116"/>
      <c r="E48" s="116"/>
      <c r="F48" s="116"/>
      <c r="G48" s="116"/>
      <c r="H48" s="116"/>
      <c r="I48" s="122"/>
      <c r="J48" s="122"/>
      <c r="K48" s="122"/>
      <c r="L48" s="122"/>
      <c r="M48" s="122"/>
      <c r="N48" s="122"/>
      <c r="O48" s="122"/>
      <c r="P48" s="122"/>
      <c r="Q48" s="126"/>
      <c r="R48" s="116"/>
      <c r="S48" s="127"/>
      <c r="T48" s="3"/>
      <c r="U48" s="3"/>
      <c r="V48" s="3"/>
      <c r="W48" s="3"/>
      <c r="X48" s="3"/>
      <c r="Y48" s="3"/>
      <c r="Z48" s="3"/>
    </row>
    <row r="49" ht="12.0" customHeight="1">
      <c r="A49" s="111"/>
      <c r="B49" s="113"/>
      <c r="C49" s="116"/>
      <c r="D49" s="116"/>
      <c r="E49" s="116"/>
      <c r="F49" s="116"/>
      <c r="G49" s="116"/>
      <c r="H49" s="116"/>
      <c r="I49" s="122"/>
      <c r="J49" s="122"/>
      <c r="K49" s="122"/>
      <c r="L49" s="122"/>
      <c r="M49" s="122"/>
      <c r="N49" s="122"/>
      <c r="O49" s="122"/>
      <c r="P49" s="122"/>
      <c r="Q49" s="126"/>
      <c r="R49" s="116"/>
      <c r="S49" s="127"/>
      <c r="T49" s="3"/>
      <c r="U49" s="3"/>
      <c r="V49" s="3"/>
      <c r="W49" s="3"/>
      <c r="X49" s="3"/>
      <c r="Y49" s="3"/>
      <c r="Z49" s="3"/>
    </row>
    <row r="50" ht="12.0" customHeight="1">
      <c r="A50" s="111"/>
      <c r="B50" s="113"/>
      <c r="C50" s="116"/>
      <c r="D50" s="116"/>
      <c r="E50" s="116"/>
      <c r="F50" s="116"/>
      <c r="G50" s="116"/>
      <c r="H50" s="116"/>
      <c r="I50" s="122"/>
      <c r="J50" s="122"/>
      <c r="K50" s="122"/>
      <c r="L50" s="122"/>
      <c r="M50" s="122"/>
      <c r="N50" s="122"/>
      <c r="O50" s="122"/>
      <c r="P50" s="122"/>
      <c r="Q50" s="126"/>
      <c r="R50" s="116"/>
      <c r="S50" s="127"/>
      <c r="T50" s="3"/>
      <c r="U50" s="3"/>
      <c r="V50" s="3"/>
      <c r="W50" s="3"/>
      <c r="X50" s="3"/>
      <c r="Y50" s="3"/>
      <c r="Z50" s="3"/>
    </row>
    <row r="51" ht="12.0" customHeight="1">
      <c r="A51" s="111"/>
      <c r="B51" s="113"/>
      <c r="C51" s="116"/>
      <c r="D51" s="116"/>
      <c r="E51" s="116"/>
      <c r="F51" s="116"/>
      <c r="G51" s="116"/>
      <c r="H51" s="116"/>
      <c r="I51" s="122"/>
      <c r="J51" s="122"/>
      <c r="K51" s="122"/>
      <c r="L51" s="122"/>
      <c r="M51" s="122"/>
      <c r="N51" s="122"/>
      <c r="O51" s="122"/>
      <c r="P51" s="122"/>
      <c r="Q51" s="126"/>
      <c r="R51" s="116"/>
      <c r="S51" s="127"/>
      <c r="T51" s="3"/>
      <c r="U51" s="3"/>
      <c r="V51" s="3"/>
      <c r="W51" s="3"/>
      <c r="X51" s="3"/>
      <c r="Y51" s="3"/>
      <c r="Z51" s="3"/>
    </row>
    <row r="52" ht="12.0" customHeight="1">
      <c r="A52" s="111"/>
      <c r="B52" s="113"/>
      <c r="C52" s="116"/>
      <c r="D52" s="116"/>
      <c r="E52" s="116"/>
      <c r="F52" s="116"/>
      <c r="G52" s="116"/>
      <c r="H52" s="116"/>
      <c r="I52" s="122"/>
      <c r="J52" s="122"/>
      <c r="K52" s="122"/>
      <c r="L52" s="122"/>
      <c r="M52" s="122"/>
      <c r="N52" s="122"/>
      <c r="O52" s="122"/>
      <c r="P52" s="122"/>
      <c r="Q52" s="126"/>
      <c r="R52" s="116"/>
      <c r="S52" s="127"/>
      <c r="T52" s="3"/>
      <c r="U52" s="3"/>
      <c r="V52" s="3"/>
      <c r="W52" s="3"/>
      <c r="X52" s="3"/>
      <c r="Y52" s="3"/>
      <c r="Z52" s="3"/>
    </row>
    <row r="53" ht="12.0" customHeight="1">
      <c r="A53" s="111"/>
      <c r="B53" s="113"/>
      <c r="C53" s="116"/>
      <c r="D53" s="116"/>
      <c r="E53" s="116"/>
      <c r="F53" s="116"/>
      <c r="G53" s="116"/>
      <c r="H53" s="116"/>
      <c r="I53" s="122"/>
      <c r="J53" s="122"/>
      <c r="K53" s="122"/>
      <c r="L53" s="122"/>
      <c r="M53" s="122"/>
      <c r="N53" s="122"/>
      <c r="O53" s="122"/>
      <c r="P53" s="122"/>
      <c r="Q53" s="126"/>
      <c r="R53" s="116"/>
      <c r="S53" s="127"/>
      <c r="T53" s="3"/>
      <c r="U53" s="3"/>
      <c r="V53" s="3"/>
      <c r="W53" s="3"/>
      <c r="X53" s="3"/>
      <c r="Y53" s="3"/>
      <c r="Z53" s="3"/>
    </row>
    <row r="54" ht="12.0" customHeight="1">
      <c r="A54" s="111"/>
      <c r="B54" s="113"/>
      <c r="C54" s="116"/>
      <c r="D54" s="116"/>
      <c r="E54" s="116"/>
      <c r="F54" s="116"/>
      <c r="G54" s="116"/>
      <c r="H54" s="116"/>
      <c r="I54" s="122"/>
      <c r="J54" s="122"/>
      <c r="K54" s="122"/>
      <c r="L54" s="122"/>
      <c r="M54" s="122"/>
      <c r="N54" s="122"/>
      <c r="O54" s="122"/>
      <c r="P54" s="122"/>
      <c r="Q54" s="126"/>
      <c r="R54" s="116"/>
      <c r="S54" s="127"/>
      <c r="T54" s="3"/>
      <c r="U54" s="3"/>
      <c r="V54" s="3"/>
      <c r="W54" s="3"/>
      <c r="X54" s="3"/>
      <c r="Y54" s="3"/>
      <c r="Z54" s="3"/>
    </row>
    <row r="55" ht="12.0" customHeight="1">
      <c r="A55" s="111"/>
      <c r="B55" s="113"/>
      <c r="C55" s="116"/>
      <c r="D55" s="116"/>
      <c r="E55" s="116"/>
      <c r="F55" s="116"/>
      <c r="G55" s="116"/>
      <c r="H55" s="116"/>
      <c r="I55" s="122"/>
      <c r="J55" s="122"/>
      <c r="K55" s="122"/>
      <c r="L55" s="122"/>
      <c r="M55" s="122"/>
      <c r="N55" s="122"/>
      <c r="O55" s="122"/>
      <c r="P55" s="122"/>
      <c r="Q55" s="126"/>
      <c r="R55" s="116"/>
      <c r="S55" s="127"/>
      <c r="T55" s="3"/>
      <c r="U55" s="3"/>
      <c r="V55" s="3"/>
      <c r="W55" s="3"/>
      <c r="X55" s="3"/>
      <c r="Y55" s="3"/>
      <c r="Z55" s="3"/>
    </row>
    <row r="56" ht="12.0" customHeight="1">
      <c r="A56" s="111"/>
      <c r="B56" s="113"/>
      <c r="C56" s="116"/>
      <c r="D56" s="116"/>
      <c r="E56" s="116"/>
      <c r="F56" s="116"/>
      <c r="G56" s="116"/>
      <c r="H56" s="116"/>
      <c r="I56" s="122"/>
      <c r="J56" s="122"/>
      <c r="K56" s="122"/>
      <c r="L56" s="122"/>
      <c r="M56" s="122"/>
      <c r="N56" s="122"/>
      <c r="O56" s="122"/>
      <c r="P56" s="122"/>
      <c r="Q56" s="126"/>
      <c r="R56" s="116"/>
      <c r="S56" s="127"/>
      <c r="T56" s="3"/>
      <c r="U56" s="3"/>
      <c r="V56" s="3"/>
      <c r="W56" s="3"/>
      <c r="X56" s="3"/>
      <c r="Y56" s="3"/>
      <c r="Z56" s="3"/>
    </row>
    <row r="57" ht="12.0" customHeight="1">
      <c r="A57" s="111"/>
      <c r="B57" s="113"/>
      <c r="C57" s="116"/>
      <c r="D57" s="116"/>
      <c r="E57" s="116"/>
      <c r="F57" s="116"/>
      <c r="G57" s="116"/>
      <c r="H57" s="116"/>
      <c r="I57" s="122"/>
      <c r="J57" s="122"/>
      <c r="K57" s="122"/>
      <c r="L57" s="122"/>
      <c r="M57" s="122"/>
      <c r="N57" s="122"/>
      <c r="O57" s="122"/>
      <c r="P57" s="122"/>
      <c r="Q57" s="126"/>
      <c r="R57" s="116"/>
      <c r="S57" s="127"/>
      <c r="T57" s="3"/>
      <c r="U57" s="3"/>
      <c r="V57" s="3"/>
      <c r="W57" s="3"/>
      <c r="X57" s="3"/>
      <c r="Y57" s="3"/>
      <c r="Z57" s="3"/>
    </row>
    <row r="58" ht="12.0" customHeight="1">
      <c r="A58" s="111"/>
      <c r="B58" s="113"/>
      <c r="C58" s="116"/>
      <c r="D58" s="116"/>
      <c r="E58" s="116"/>
      <c r="F58" s="116"/>
      <c r="G58" s="116"/>
      <c r="H58" s="116"/>
      <c r="I58" s="122"/>
      <c r="J58" s="122"/>
      <c r="K58" s="122"/>
      <c r="L58" s="122"/>
      <c r="M58" s="122"/>
      <c r="N58" s="122"/>
      <c r="O58" s="122"/>
      <c r="P58" s="122"/>
      <c r="Q58" s="126"/>
      <c r="R58" s="116"/>
      <c r="S58" s="127"/>
      <c r="T58" s="3"/>
      <c r="U58" s="3"/>
      <c r="V58" s="3"/>
      <c r="W58" s="3"/>
      <c r="X58" s="3"/>
      <c r="Y58" s="3"/>
      <c r="Z58" s="3"/>
    </row>
    <row r="59" ht="12.0" customHeight="1">
      <c r="A59" s="111"/>
      <c r="B59" s="113"/>
      <c r="C59" s="116"/>
      <c r="D59" s="116"/>
      <c r="E59" s="116"/>
      <c r="F59" s="116"/>
      <c r="G59" s="116"/>
      <c r="H59" s="116"/>
      <c r="I59" s="122"/>
      <c r="J59" s="122"/>
      <c r="K59" s="122"/>
      <c r="L59" s="122"/>
      <c r="M59" s="122"/>
      <c r="N59" s="122"/>
      <c r="O59" s="122"/>
      <c r="P59" s="122"/>
      <c r="Q59" s="126"/>
      <c r="R59" s="116"/>
      <c r="S59" s="127"/>
      <c r="T59" s="3"/>
      <c r="U59" s="3"/>
      <c r="V59" s="3"/>
      <c r="W59" s="3"/>
      <c r="X59" s="3"/>
      <c r="Y59" s="3"/>
      <c r="Z59" s="3"/>
    </row>
    <row r="60" ht="12.0" customHeight="1">
      <c r="A60" s="111"/>
      <c r="B60" s="113"/>
      <c r="C60" s="116"/>
      <c r="D60" s="116"/>
      <c r="E60" s="116"/>
      <c r="F60" s="116"/>
      <c r="G60" s="116"/>
      <c r="H60" s="116"/>
      <c r="I60" s="122"/>
      <c r="J60" s="122"/>
      <c r="K60" s="122"/>
      <c r="L60" s="122"/>
      <c r="M60" s="122"/>
      <c r="N60" s="122"/>
      <c r="O60" s="122"/>
      <c r="P60" s="122"/>
      <c r="Q60" s="126"/>
      <c r="R60" s="116"/>
      <c r="S60" s="127"/>
      <c r="T60" s="3"/>
      <c r="U60" s="3"/>
      <c r="V60" s="3"/>
      <c r="W60" s="3"/>
      <c r="X60" s="3"/>
      <c r="Y60" s="3"/>
      <c r="Z60" s="3"/>
    </row>
    <row r="61" ht="12.0" customHeight="1">
      <c r="A61" s="111"/>
      <c r="B61" s="113"/>
      <c r="C61" s="116"/>
      <c r="D61" s="116"/>
      <c r="E61" s="116"/>
      <c r="F61" s="116"/>
      <c r="G61" s="116"/>
      <c r="H61" s="116"/>
      <c r="I61" s="122"/>
      <c r="J61" s="122"/>
      <c r="K61" s="122"/>
      <c r="L61" s="122"/>
      <c r="M61" s="122"/>
      <c r="N61" s="122"/>
      <c r="O61" s="122"/>
      <c r="P61" s="122"/>
      <c r="Q61" s="126"/>
      <c r="R61" s="116"/>
      <c r="S61" s="127"/>
      <c r="T61" s="3"/>
      <c r="U61" s="3"/>
      <c r="V61" s="3"/>
      <c r="W61" s="3"/>
      <c r="X61" s="3"/>
      <c r="Y61" s="3"/>
      <c r="Z61" s="3"/>
    </row>
    <row r="62" ht="12.0" customHeight="1">
      <c r="A62" s="111"/>
      <c r="B62" s="113"/>
      <c r="C62" s="116"/>
      <c r="D62" s="116"/>
      <c r="E62" s="116"/>
      <c r="F62" s="116"/>
      <c r="G62" s="116"/>
      <c r="H62" s="116"/>
      <c r="I62" s="122"/>
      <c r="J62" s="122"/>
      <c r="K62" s="122"/>
      <c r="L62" s="122"/>
      <c r="M62" s="122"/>
      <c r="N62" s="122"/>
      <c r="O62" s="122"/>
      <c r="P62" s="122"/>
      <c r="Q62" s="126"/>
      <c r="R62" s="116"/>
      <c r="S62" s="127"/>
      <c r="T62" s="3"/>
      <c r="U62" s="3"/>
      <c r="V62" s="3"/>
      <c r="W62" s="3"/>
      <c r="X62" s="3"/>
      <c r="Y62" s="3"/>
      <c r="Z62" s="3"/>
    </row>
    <row r="63" ht="12.0" customHeight="1">
      <c r="A63" s="111"/>
      <c r="B63" s="113"/>
      <c r="C63" s="116"/>
      <c r="D63" s="116"/>
      <c r="E63" s="116"/>
      <c r="F63" s="116"/>
      <c r="G63" s="116"/>
      <c r="H63" s="116"/>
      <c r="I63" s="122"/>
      <c r="J63" s="122"/>
      <c r="K63" s="122"/>
      <c r="L63" s="122"/>
      <c r="M63" s="122"/>
      <c r="N63" s="122"/>
      <c r="O63" s="122"/>
      <c r="P63" s="122"/>
      <c r="Q63" s="126"/>
      <c r="R63" s="116"/>
      <c r="S63" s="127"/>
      <c r="T63" s="3"/>
      <c r="U63" s="3"/>
      <c r="V63" s="3"/>
      <c r="W63" s="3"/>
      <c r="X63" s="3"/>
      <c r="Y63" s="3"/>
      <c r="Z63" s="3"/>
    </row>
    <row r="64" ht="12.0" customHeight="1">
      <c r="A64" s="111"/>
      <c r="B64" s="113"/>
      <c r="C64" s="116"/>
      <c r="D64" s="116"/>
      <c r="E64" s="116"/>
      <c r="F64" s="116"/>
      <c r="G64" s="116"/>
      <c r="H64" s="116"/>
      <c r="I64" s="122"/>
      <c r="J64" s="122"/>
      <c r="K64" s="122"/>
      <c r="L64" s="122"/>
      <c r="M64" s="122"/>
      <c r="N64" s="122"/>
      <c r="O64" s="122"/>
      <c r="P64" s="122"/>
      <c r="Q64" s="126"/>
      <c r="R64" s="116"/>
      <c r="S64" s="127"/>
      <c r="T64" s="3"/>
      <c r="U64" s="3"/>
      <c r="V64" s="3"/>
      <c r="W64" s="3"/>
      <c r="X64" s="3"/>
      <c r="Y64" s="3"/>
      <c r="Z64" s="3"/>
    </row>
    <row r="65" ht="12.0" customHeight="1">
      <c r="A65" s="111"/>
      <c r="B65" s="113"/>
      <c r="C65" s="116"/>
      <c r="D65" s="116"/>
      <c r="E65" s="116"/>
      <c r="F65" s="116"/>
      <c r="G65" s="116"/>
      <c r="H65" s="116"/>
      <c r="I65" s="122"/>
      <c r="J65" s="122"/>
      <c r="K65" s="122"/>
      <c r="L65" s="122"/>
      <c r="M65" s="122"/>
      <c r="N65" s="122"/>
      <c r="O65" s="122"/>
      <c r="P65" s="122"/>
      <c r="Q65" s="126"/>
      <c r="R65" s="116"/>
      <c r="S65" s="127"/>
      <c r="T65" s="3"/>
      <c r="U65" s="3"/>
      <c r="V65" s="3"/>
      <c r="W65" s="3"/>
      <c r="X65" s="3"/>
      <c r="Y65" s="3"/>
      <c r="Z65" s="3"/>
    </row>
    <row r="66" ht="12.0" customHeight="1">
      <c r="A66" s="111"/>
      <c r="B66" s="113"/>
      <c r="C66" s="116"/>
      <c r="D66" s="116"/>
      <c r="E66" s="116"/>
      <c r="F66" s="116"/>
      <c r="G66" s="116"/>
      <c r="H66" s="116"/>
      <c r="I66" s="122"/>
      <c r="J66" s="122"/>
      <c r="K66" s="122"/>
      <c r="L66" s="122"/>
      <c r="M66" s="122"/>
      <c r="N66" s="122"/>
      <c r="O66" s="122"/>
      <c r="P66" s="122"/>
      <c r="Q66" s="126"/>
      <c r="R66" s="116"/>
      <c r="S66" s="127"/>
      <c r="T66" s="3"/>
      <c r="U66" s="3"/>
      <c r="V66" s="3"/>
      <c r="W66" s="3"/>
      <c r="X66" s="3"/>
      <c r="Y66" s="3"/>
      <c r="Z66" s="3"/>
    </row>
    <row r="67" ht="12.0" customHeight="1">
      <c r="A67" s="111"/>
      <c r="B67" s="113"/>
      <c r="C67" s="116"/>
      <c r="D67" s="116"/>
      <c r="E67" s="116"/>
      <c r="F67" s="116"/>
      <c r="G67" s="116"/>
      <c r="H67" s="116"/>
      <c r="I67" s="122"/>
      <c r="J67" s="122"/>
      <c r="K67" s="122"/>
      <c r="L67" s="122"/>
      <c r="M67" s="122"/>
      <c r="N67" s="122"/>
      <c r="O67" s="122"/>
      <c r="P67" s="122"/>
      <c r="Q67" s="126"/>
      <c r="R67" s="116"/>
      <c r="S67" s="127"/>
      <c r="T67" s="3"/>
      <c r="U67" s="3"/>
      <c r="V67" s="3"/>
      <c r="W67" s="3"/>
      <c r="X67" s="3"/>
      <c r="Y67" s="3"/>
      <c r="Z67" s="3"/>
    </row>
    <row r="68" ht="12.0" customHeight="1">
      <c r="A68" s="111"/>
      <c r="B68" s="113"/>
      <c r="C68" s="116"/>
      <c r="D68" s="116"/>
      <c r="E68" s="116"/>
      <c r="F68" s="116"/>
      <c r="G68" s="116"/>
      <c r="H68" s="116"/>
      <c r="I68" s="122"/>
      <c r="J68" s="122"/>
      <c r="K68" s="122"/>
      <c r="L68" s="122"/>
      <c r="M68" s="122"/>
      <c r="N68" s="122"/>
      <c r="O68" s="122"/>
      <c r="P68" s="122"/>
      <c r="Q68" s="126"/>
      <c r="R68" s="116"/>
      <c r="S68" s="127"/>
      <c r="T68" s="3"/>
      <c r="U68" s="3"/>
      <c r="V68" s="3"/>
      <c r="W68" s="3"/>
      <c r="X68" s="3"/>
      <c r="Y68" s="3"/>
      <c r="Z68" s="3"/>
    </row>
    <row r="69" ht="12.0" customHeight="1">
      <c r="A69" s="111"/>
      <c r="B69" s="113"/>
      <c r="C69" s="116"/>
      <c r="D69" s="116"/>
      <c r="E69" s="116"/>
      <c r="F69" s="116"/>
      <c r="G69" s="116"/>
      <c r="H69" s="116"/>
      <c r="I69" s="122"/>
      <c r="J69" s="122"/>
      <c r="K69" s="122"/>
      <c r="L69" s="122"/>
      <c r="M69" s="122"/>
      <c r="N69" s="122"/>
      <c r="O69" s="122"/>
      <c r="P69" s="122"/>
      <c r="Q69" s="126"/>
      <c r="R69" s="116"/>
      <c r="S69" s="127"/>
      <c r="T69" s="3"/>
      <c r="U69" s="3"/>
      <c r="V69" s="3"/>
      <c r="W69" s="3"/>
      <c r="X69" s="3"/>
      <c r="Y69" s="3"/>
      <c r="Z69" s="3"/>
    </row>
    <row r="70" ht="12.0" customHeight="1">
      <c r="A70" s="111"/>
      <c r="B70" s="113"/>
      <c r="C70" s="116"/>
      <c r="D70" s="116"/>
      <c r="E70" s="116"/>
      <c r="F70" s="116"/>
      <c r="G70" s="116"/>
      <c r="H70" s="116"/>
      <c r="I70" s="122"/>
      <c r="J70" s="122"/>
      <c r="K70" s="122"/>
      <c r="L70" s="122"/>
      <c r="M70" s="122"/>
      <c r="N70" s="122"/>
      <c r="O70" s="122"/>
      <c r="P70" s="122"/>
      <c r="Q70" s="126"/>
      <c r="R70" s="116"/>
      <c r="S70" s="127"/>
      <c r="T70" s="3"/>
      <c r="U70" s="3"/>
      <c r="V70" s="3"/>
      <c r="W70" s="3"/>
      <c r="X70" s="3"/>
      <c r="Y70" s="3"/>
      <c r="Z70" s="3"/>
    </row>
    <row r="71" ht="12.0" customHeight="1">
      <c r="A71" s="111"/>
      <c r="B71" s="113"/>
      <c r="C71" s="116"/>
      <c r="D71" s="116"/>
      <c r="E71" s="116"/>
      <c r="F71" s="116"/>
      <c r="G71" s="116"/>
      <c r="H71" s="116"/>
      <c r="I71" s="122"/>
      <c r="J71" s="122"/>
      <c r="K71" s="122"/>
      <c r="L71" s="122"/>
      <c r="M71" s="122"/>
      <c r="N71" s="122"/>
      <c r="O71" s="122"/>
      <c r="P71" s="122"/>
      <c r="Q71" s="126"/>
      <c r="R71" s="116"/>
      <c r="S71" s="127"/>
      <c r="T71" s="3"/>
      <c r="U71" s="3"/>
      <c r="V71" s="3"/>
      <c r="W71" s="3"/>
      <c r="X71" s="3"/>
      <c r="Y71" s="3"/>
      <c r="Z71" s="3"/>
    </row>
    <row r="72" ht="12.0" customHeight="1">
      <c r="A72" s="111"/>
      <c r="B72" s="113"/>
      <c r="C72" s="116"/>
      <c r="D72" s="116"/>
      <c r="E72" s="116"/>
      <c r="F72" s="116"/>
      <c r="G72" s="116"/>
      <c r="H72" s="116"/>
      <c r="I72" s="122"/>
      <c r="J72" s="122"/>
      <c r="K72" s="122"/>
      <c r="L72" s="122"/>
      <c r="M72" s="122"/>
      <c r="N72" s="122"/>
      <c r="O72" s="122"/>
      <c r="P72" s="122"/>
      <c r="Q72" s="126"/>
      <c r="R72" s="116"/>
      <c r="S72" s="127"/>
      <c r="T72" s="3"/>
      <c r="U72" s="3"/>
      <c r="V72" s="3"/>
      <c r="W72" s="3"/>
      <c r="X72" s="3"/>
      <c r="Y72" s="3"/>
      <c r="Z72" s="3"/>
    </row>
    <row r="73" ht="12.0" customHeight="1">
      <c r="A73" s="111"/>
      <c r="B73" s="113"/>
      <c r="C73" s="116"/>
      <c r="D73" s="116"/>
      <c r="E73" s="116"/>
      <c r="F73" s="116"/>
      <c r="G73" s="116"/>
      <c r="H73" s="116"/>
      <c r="I73" s="122"/>
      <c r="J73" s="122"/>
      <c r="K73" s="122"/>
      <c r="L73" s="122"/>
      <c r="M73" s="122"/>
      <c r="N73" s="122"/>
      <c r="O73" s="122"/>
      <c r="P73" s="122"/>
      <c r="Q73" s="126"/>
      <c r="R73" s="116"/>
      <c r="S73" s="127"/>
      <c r="T73" s="3"/>
      <c r="U73" s="3"/>
      <c r="V73" s="3"/>
      <c r="W73" s="3"/>
      <c r="X73" s="3"/>
      <c r="Y73" s="3"/>
      <c r="Z73" s="3"/>
    </row>
    <row r="74" ht="12.0" customHeight="1">
      <c r="A74" s="111"/>
      <c r="B74" s="113"/>
      <c r="C74" s="116"/>
      <c r="D74" s="116"/>
      <c r="E74" s="116"/>
      <c r="F74" s="116"/>
      <c r="G74" s="116"/>
      <c r="H74" s="116"/>
      <c r="I74" s="122"/>
      <c r="J74" s="122"/>
      <c r="K74" s="122"/>
      <c r="L74" s="122"/>
      <c r="M74" s="122"/>
      <c r="N74" s="122"/>
      <c r="O74" s="122"/>
      <c r="P74" s="122"/>
      <c r="Q74" s="126"/>
      <c r="R74" s="116"/>
      <c r="S74" s="127"/>
      <c r="T74" s="3"/>
      <c r="U74" s="3"/>
      <c r="V74" s="3"/>
      <c r="W74" s="3"/>
      <c r="X74" s="3"/>
      <c r="Y74" s="3"/>
      <c r="Z74" s="3"/>
    </row>
    <row r="75" ht="12.0" customHeight="1">
      <c r="A75" s="111"/>
      <c r="B75" s="113"/>
      <c r="C75" s="116"/>
      <c r="D75" s="116"/>
      <c r="E75" s="116"/>
      <c r="F75" s="116"/>
      <c r="G75" s="116"/>
      <c r="H75" s="116"/>
      <c r="I75" s="122"/>
      <c r="J75" s="122"/>
      <c r="K75" s="122"/>
      <c r="L75" s="122"/>
      <c r="M75" s="122"/>
      <c r="N75" s="122"/>
      <c r="O75" s="122"/>
      <c r="P75" s="122"/>
      <c r="Q75" s="126"/>
      <c r="R75" s="116"/>
      <c r="S75" s="127"/>
      <c r="T75" s="3"/>
      <c r="U75" s="3"/>
      <c r="V75" s="3"/>
      <c r="W75" s="3"/>
      <c r="X75" s="3"/>
      <c r="Y75" s="3"/>
      <c r="Z75" s="3"/>
    </row>
    <row r="76" ht="12.0" customHeight="1">
      <c r="A76" s="111"/>
      <c r="B76" s="113"/>
      <c r="C76" s="116"/>
      <c r="D76" s="116"/>
      <c r="E76" s="116"/>
      <c r="F76" s="116"/>
      <c r="G76" s="116"/>
      <c r="H76" s="116"/>
      <c r="I76" s="122"/>
      <c r="J76" s="122"/>
      <c r="K76" s="122"/>
      <c r="L76" s="122"/>
      <c r="M76" s="122"/>
      <c r="N76" s="122"/>
      <c r="O76" s="122"/>
      <c r="P76" s="122"/>
      <c r="Q76" s="126"/>
      <c r="R76" s="116"/>
      <c r="S76" s="127"/>
      <c r="T76" s="3"/>
      <c r="U76" s="3"/>
      <c r="V76" s="3"/>
      <c r="W76" s="3"/>
      <c r="X76" s="3"/>
      <c r="Y76" s="3"/>
      <c r="Z76" s="3"/>
    </row>
    <row r="77" ht="12.0" customHeight="1">
      <c r="A77" s="111"/>
      <c r="B77" s="113"/>
      <c r="C77" s="116"/>
      <c r="D77" s="116"/>
      <c r="E77" s="116"/>
      <c r="F77" s="116"/>
      <c r="G77" s="116"/>
      <c r="H77" s="116"/>
      <c r="I77" s="122"/>
      <c r="J77" s="122"/>
      <c r="K77" s="122"/>
      <c r="L77" s="122"/>
      <c r="M77" s="122"/>
      <c r="N77" s="122"/>
      <c r="O77" s="122"/>
      <c r="P77" s="122"/>
      <c r="Q77" s="126"/>
      <c r="R77" s="116"/>
      <c r="S77" s="127"/>
      <c r="T77" s="3"/>
      <c r="U77" s="3"/>
      <c r="V77" s="3"/>
      <c r="W77" s="3"/>
      <c r="X77" s="3"/>
      <c r="Y77" s="3"/>
      <c r="Z77" s="3"/>
    </row>
    <row r="78" ht="12.0" customHeight="1">
      <c r="A78" s="111"/>
      <c r="B78" s="113"/>
      <c r="C78" s="116"/>
      <c r="D78" s="116"/>
      <c r="E78" s="116"/>
      <c r="F78" s="116"/>
      <c r="G78" s="116"/>
      <c r="H78" s="116"/>
      <c r="I78" s="122"/>
      <c r="J78" s="122"/>
      <c r="K78" s="122"/>
      <c r="L78" s="122"/>
      <c r="M78" s="122"/>
      <c r="N78" s="122"/>
      <c r="O78" s="122"/>
      <c r="P78" s="122"/>
      <c r="Q78" s="126"/>
      <c r="R78" s="116"/>
      <c r="S78" s="127"/>
      <c r="T78" s="3"/>
      <c r="U78" s="3"/>
      <c r="V78" s="3"/>
      <c r="W78" s="3"/>
      <c r="X78" s="3"/>
      <c r="Y78" s="3"/>
      <c r="Z78" s="3"/>
    </row>
    <row r="79" ht="12.0" customHeight="1">
      <c r="A79" s="111"/>
      <c r="B79" s="113"/>
      <c r="C79" s="116"/>
      <c r="D79" s="116"/>
      <c r="E79" s="116"/>
      <c r="F79" s="116"/>
      <c r="G79" s="116"/>
      <c r="H79" s="116"/>
      <c r="I79" s="122"/>
      <c r="J79" s="122"/>
      <c r="K79" s="122"/>
      <c r="L79" s="122"/>
      <c r="M79" s="122"/>
      <c r="N79" s="122"/>
      <c r="O79" s="122"/>
      <c r="P79" s="122"/>
      <c r="Q79" s="126"/>
      <c r="R79" s="116"/>
      <c r="S79" s="127"/>
      <c r="T79" s="3"/>
      <c r="U79" s="3"/>
      <c r="V79" s="3"/>
      <c r="W79" s="3"/>
      <c r="X79" s="3"/>
      <c r="Y79" s="3"/>
      <c r="Z79" s="3"/>
    </row>
    <row r="80" ht="12.0" customHeight="1">
      <c r="A80" s="111"/>
      <c r="B80" s="113"/>
      <c r="C80" s="116"/>
      <c r="D80" s="116"/>
      <c r="E80" s="116"/>
      <c r="F80" s="116"/>
      <c r="G80" s="116"/>
      <c r="H80" s="116"/>
      <c r="I80" s="122"/>
      <c r="J80" s="122"/>
      <c r="K80" s="122"/>
      <c r="L80" s="122"/>
      <c r="M80" s="122"/>
      <c r="N80" s="122"/>
      <c r="O80" s="122"/>
      <c r="P80" s="122"/>
      <c r="Q80" s="126"/>
      <c r="R80" s="116"/>
      <c r="S80" s="127"/>
      <c r="T80" s="3"/>
      <c r="U80" s="3"/>
      <c r="V80" s="3"/>
      <c r="W80" s="3"/>
      <c r="X80" s="3"/>
      <c r="Y80" s="3"/>
      <c r="Z80" s="3"/>
    </row>
    <row r="81" ht="12.0" customHeight="1">
      <c r="A81" s="111"/>
      <c r="B81" s="113"/>
      <c r="C81" s="116"/>
      <c r="D81" s="116"/>
      <c r="E81" s="116"/>
      <c r="F81" s="116"/>
      <c r="G81" s="116"/>
      <c r="H81" s="116"/>
      <c r="I81" s="122"/>
      <c r="J81" s="122"/>
      <c r="K81" s="122"/>
      <c r="L81" s="122"/>
      <c r="M81" s="122"/>
      <c r="N81" s="122"/>
      <c r="O81" s="122"/>
      <c r="P81" s="122"/>
      <c r="Q81" s="126"/>
      <c r="R81" s="116"/>
      <c r="S81" s="127"/>
      <c r="T81" s="3"/>
      <c r="U81" s="3"/>
      <c r="V81" s="3"/>
      <c r="W81" s="3"/>
      <c r="X81" s="3"/>
      <c r="Y81" s="3"/>
      <c r="Z81" s="3"/>
    </row>
    <row r="82" ht="12.0" customHeight="1">
      <c r="A82" s="111"/>
      <c r="B82" s="113"/>
      <c r="C82" s="116"/>
      <c r="D82" s="116"/>
      <c r="E82" s="116"/>
      <c r="F82" s="116"/>
      <c r="G82" s="116"/>
      <c r="H82" s="116"/>
      <c r="I82" s="122"/>
      <c r="J82" s="122"/>
      <c r="K82" s="122"/>
      <c r="L82" s="122"/>
      <c r="M82" s="122"/>
      <c r="N82" s="122"/>
      <c r="O82" s="122"/>
      <c r="P82" s="122"/>
      <c r="Q82" s="126"/>
      <c r="R82" s="116"/>
      <c r="S82" s="127"/>
      <c r="T82" s="3"/>
      <c r="U82" s="3"/>
      <c r="V82" s="3"/>
      <c r="W82" s="3"/>
      <c r="X82" s="3"/>
      <c r="Y82" s="3"/>
      <c r="Z82" s="3"/>
    </row>
    <row r="83" ht="12.0" customHeight="1">
      <c r="A83" s="111"/>
      <c r="B83" s="113"/>
      <c r="C83" s="116"/>
      <c r="D83" s="116"/>
      <c r="E83" s="116"/>
      <c r="F83" s="116"/>
      <c r="G83" s="116"/>
      <c r="H83" s="116"/>
      <c r="I83" s="122"/>
      <c r="J83" s="122"/>
      <c r="K83" s="122"/>
      <c r="L83" s="122"/>
      <c r="M83" s="122"/>
      <c r="N83" s="122"/>
      <c r="O83" s="122"/>
      <c r="P83" s="122"/>
      <c r="Q83" s="126"/>
      <c r="R83" s="116"/>
      <c r="S83" s="127"/>
      <c r="T83" s="3"/>
      <c r="U83" s="3"/>
      <c r="V83" s="3"/>
      <c r="W83" s="3"/>
      <c r="X83" s="3"/>
      <c r="Y83" s="3"/>
      <c r="Z83" s="3"/>
    </row>
    <row r="84" ht="12.0" customHeight="1">
      <c r="A84" s="111"/>
      <c r="B84" s="113"/>
      <c r="C84" s="116"/>
      <c r="D84" s="116"/>
      <c r="E84" s="116"/>
      <c r="F84" s="116"/>
      <c r="G84" s="116"/>
      <c r="H84" s="116"/>
      <c r="I84" s="122"/>
      <c r="J84" s="122"/>
      <c r="K84" s="122"/>
      <c r="L84" s="122"/>
      <c r="M84" s="122"/>
      <c r="N84" s="122"/>
      <c r="O84" s="122"/>
      <c r="P84" s="122"/>
      <c r="Q84" s="126"/>
      <c r="R84" s="116"/>
      <c r="S84" s="127"/>
      <c r="T84" s="3"/>
      <c r="U84" s="3"/>
      <c r="V84" s="3"/>
      <c r="W84" s="3"/>
      <c r="X84" s="3"/>
      <c r="Y84" s="3"/>
      <c r="Z84" s="3"/>
    </row>
    <row r="85" ht="12.0" customHeight="1">
      <c r="A85" s="111"/>
      <c r="B85" s="113"/>
      <c r="C85" s="116"/>
      <c r="D85" s="116"/>
      <c r="E85" s="116"/>
      <c r="F85" s="116"/>
      <c r="G85" s="116"/>
      <c r="H85" s="116"/>
      <c r="I85" s="122"/>
      <c r="J85" s="122"/>
      <c r="K85" s="122"/>
      <c r="L85" s="122"/>
      <c r="M85" s="122"/>
      <c r="N85" s="122"/>
      <c r="O85" s="122"/>
      <c r="P85" s="122"/>
      <c r="Q85" s="126"/>
      <c r="R85" s="116"/>
      <c r="S85" s="127"/>
      <c r="T85" s="3"/>
      <c r="U85" s="3"/>
      <c r="V85" s="3"/>
      <c r="W85" s="3"/>
      <c r="X85" s="3"/>
      <c r="Y85" s="3"/>
      <c r="Z85" s="3"/>
    </row>
    <row r="86" ht="12.0" customHeight="1">
      <c r="A86" s="111"/>
      <c r="B86" s="113"/>
      <c r="C86" s="116"/>
      <c r="D86" s="116"/>
      <c r="E86" s="116"/>
      <c r="F86" s="116"/>
      <c r="G86" s="116"/>
      <c r="H86" s="116"/>
      <c r="I86" s="122"/>
      <c r="J86" s="122"/>
      <c r="K86" s="122"/>
      <c r="L86" s="122"/>
      <c r="M86" s="122"/>
      <c r="N86" s="122"/>
      <c r="O86" s="122"/>
      <c r="P86" s="122"/>
      <c r="Q86" s="126"/>
      <c r="R86" s="116"/>
      <c r="S86" s="127"/>
      <c r="T86" s="3"/>
      <c r="U86" s="3"/>
      <c r="V86" s="3"/>
      <c r="W86" s="3"/>
      <c r="X86" s="3"/>
      <c r="Y86" s="3"/>
      <c r="Z86" s="3"/>
    </row>
    <row r="87" ht="12.0" customHeight="1">
      <c r="A87" s="111"/>
      <c r="B87" s="113"/>
      <c r="C87" s="116"/>
      <c r="D87" s="116"/>
      <c r="E87" s="116"/>
      <c r="F87" s="116"/>
      <c r="G87" s="116"/>
      <c r="H87" s="116"/>
      <c r="I87" s="122"/>
      <c r="J87" s="122"/>
      <c r="K87" s="122"/>
      <c r="L87" s="122"/>
      <c r="M87" s="122"/>
      <c r="N87" s="122"/>
      <c r="O87" s="122"/>
      <c r="P87" s="122"/>
      <c r="Q87" s="126"/>
      <c r="R87" s="116"/>
      <c r="S87" s="127"/>
      <c r="T87" s="3"/>
      <c r="U87" s="3"/>
      <c r="V87" s="3"/>
      <c r="W87" s="3"/>
      <c r="X87" s="3"/>
      <c r="Y87" s="3"/>
      <c r="Z87" s="3"/>
    </row>
    <row r="88" ht="12.0" customHeight="1">
      <c r="A88" s="111"/>
      <c r="B88" s="113"/>
      <c r="C88" s="116"/>
      <c r="D88" s="116"/>
      <c r="E88" s="116"/>
      <c r="F88" s="116"/>
      <c r="G88" s="116"/>
      <c r="H88" s="116"/>
      <c r="I88" s="122"/>
      <c r="J88" s="122"/>
      <c r="K88" s="122"/>
      <c r="L88" s="122"/>
      <c r="M88" s="122"/>
      <c r="N88" s="122"/>
      <c r="O88" s="122"/>
      <c r="P88" s="122"/>
      <c r="Q88" s="126"/>
      <c r="R88" s="116"/>
      <c r="S88" s="127"/>
      <c r="T88" s="3"/>
      <c r="U88" s="3"/>
      <c r="V88" s="3"/>
      <c r="W88" s="3"/>
      <c r="X88" s="3"/>
      <c r="Y88" s="3"/>
      <c r="Z88" s="3"/>
    </row>
    <row r="89" ht="12.0" customHeight="1">
      <c r="A89" s="111"/>
      <c r="B89" s="113"/>
      <c r="C89" s="116"/>
      <c r="D89" s="116"/>
      <c r="E89" s="116"/>
      <c r="F89" s="116"/>
      <c r="G89" s="116"/>
      <c r="H89" s="116"/>
      <c r="I89" s="122"/>
      <c r="J89" s="122"/>
      <c r="K89" s="122"/>
      <c r="L89" s="122"/>
      <c r="M89" s="122"/>
      <c r="N89" s="122"/>
      <c r="O89" s="122"/>
      <c r="P89" s="122"/>
      <c r="Q89" s="126"/>
      <c r="R89" s="116"/>
      <c r="S89" s="127"/>
      <c r="T89" s="3"/>
      <c r="U89" s="3"/>
      <c r="V89" s="3"/>
      <c r="W89" s="3"/>
      <c r="X89" s="3"/>
      <c r="Y89" s="3"/>
      <c r="Z89" s="3"/>
    </row>
    <row r="90" ht="12.0" customHeight="1">
      <c r="A90" s="111"/>
      <c r="B90" s="113"/>
      <c r="C90" s="116"/>
      <c r="D90" s="116"/>
      <c r="E90" s="116"/>
      <c r="F90" s="116"/>
      <c r="G90" s="116"/>
      <c r="H90" s="116"/>
      <c r="I90" s="122"/>
      <c r="J90" s="122"/>
      <c r="K90" s="122"/>
      <c r="L90" s="122"/>
      <c r="M90" s="122"/>
      <c r="N90" s="122"/>
      <c r="O90" s="122"/>
      <c r="P90" s="122"/>
      <c r="Q90" s="126"/>
      <c r="R90" s="116"/>
      <c r="S90" s="127"/>
      <c r="T90" s="3"/>
      <c r="U90" s="3"/>
      <c r="V90" s="3"/>
      <c r="W90" s="3"/>
      <c r="X90" s="3"/>
      <c r="Y90" s="3"/>
      <c r="Z90" s="3"/>
    </row>
    <row r="91" ht="12.0" customHeight="1">
      <c r="A91" s="111"/>
      <c r="B91" s="113"/>
      <c r="C91" s="116"/>
      <c r="D91" s="116"/>
      <c r="E91" s="116"/>
      <c r="F91" s="116"/>
      <c r="G91" s="116"/>
      <c r="H91" s="116"/>
      <c r="I91" s="122"/>
      <c r="J91" s="122"/>
      <c r="K91" s="122"/>
      <c r="L91" s="122"/>
      <c r="M91" s="122"/>
      <c r="N91" s="122"/>
      <c r="O91" s="122"/>
      <c r="P91" s="122"/>
      <c r="Q91" s="126"/>
      <c r="R91" s="116"/>
      <c r="S91" s="127"/>
      <c r="T91" s="3"/>
      <c r="U91" s="3"/>
      <c r="V91" s="3"/>
      <c r="W91" s="3"/>
      <c r="X91" s="3"/>
      <c r="Y91" s="3"/>
      <c r="Z91" s="3"/>
    </row>
    <row r="92" ht="12.0" customHeight="1">
      <c r="A92" s="111"/>
      <c r="B92" s="113"/>
      <c r="C92" s="116"/>
      <c r="D92" s="116"/>
      <c r="E92" s="116"/>
      <c r="F92" s="116"/>
      <c r="G92" s="116"/>
      <c r="H92" s="116"/>
      <c r="I92" s="122"/>
      <c r="J92" s="122"/>
      <c r="K92" s="122"/>
      <c r="L92" s="122"/>
      <c r="M92" s="122"/>
      <c r="N92" s="122"/>
      <c r="O92" s="122"/>
      <c r="P92" s="122"/>
      <c r="Q92" s="126"/>
      <c r="R92" s="116"/>
      <c r="S92" s="127"/>
      <c r="T92" s="3"/>
      <c r="U92" s="3"/>
      <c r="V92" s="3"/>
      <c r="W92" s="3"/>
      <c r="X92" s="3"/>
      <c r="Y92" s="3"/>
      <c r="Z92" s="3"/>
    </row>
    <row r="93" ht="12.0" customHeight="1">
      <c r="A93" s="111"/>
      <c r="B93" s="113"/>
      <c r="C93" s="116"/>
      <c r="D93" s="116"/>
      <c r="E93" s="116"/>
      <c r="F93" s="116"/>
      <c r="G93" s="116"/>
      <c r="H93" s="116"/>
      <c r="I93" s="122"/>
      <c r="J93" s="122"/>
      <c r="K93" s="122"/>
      <c r="L93" s="122"/>
      <c r="M93" s="122"/>
      <c r="N93" s="122"/>
      <c r="O93" s="122"/>
      <c r="P93" s="122"/>
      <c r="Q93" s="126"/>
      <c r="R93" s="116"/>
      <c r="S93" s="127"/>
      <c r="T93" s="3"/>
      <c r="U93" s="3"/>
      <c r="V93" s="3"/>
      <c r="W93" s="3"/>
      <c r="X93" s="3"/>
      <c r="Y93" s="3"/>
      <c r="Z93" s="3"/>
    </row>
    <row r="94" ht="12.0" customHeight="1">
      <c r="A94" s="111"/>
      <c r="B94" s="113"/>
      <c r="C94" s="116"/>
      <c r="D94" s="116"/>
      <c r="E94" s="116"/>
      <c r="F94" s="116"/>
      <c r="G94" s="116"/>
      <c r="H94" s="116"/>
      <c r="I94" s="122"/>
      <c r="J94" s="122"/>
      <c r="K94" s="122"/>
      <c r="L94" s="122"/>
      <c r="M94" s="122"/>
      <c r="N94" s="122"/>
      <c r="O94" s="122"/>
      <c r="P94" s="122"/>
      <c r="Q94" s="126"/>
      <c r="R94" s="116"/>
      <c r="S94" s="127"/>
      <c r="T94" s="3"/>
      <c r="U94" s="3"/>
      <c r="V94" s="3"/>
      <c r="W94" s="3"/>
      <c r="X94" s="3"/>
      <c r="Y94" s="3"/>
      <c r="Z94" s="3"/>
    </row>
    <row r="95" ht="12.0" customHeight="1">
      <c r="A95" s="111"/>
      <c r="B95" s="113"/>
      <c r="C95" s="116"/>
      <c r="D95" s="116"/>
      <c r="E95" s="116"/>
      <c r="F95" s="116"/>
      <c r="G95" s="116"/>
      <c r="H95" s="116"/>
      <c r="I95" s="122"/>
      <c r="J95" s="122"/>
      <c r="K95" s="122"/>
      <c r="L95" s="122"/>
      <c r="M95" s="122"/>
      <c r="N95" s="122"/>
      <c r="O95" s="122"/>
      <c r="P95" s="122"/>
      <c r="Q95" s="126"/>
      <c r="R95" s="116"/>
      <c r="S95" s="127"/>
      <c r="T95" s="3"/>
      <c r="U95" s="3"/>
      <c r="V95" s="3"/>
      <c r="W95" s="3"/>
      <c r="X95" s="3"/>
      <c r="Y95" s="3"/>
      <c r="Z95" s="3"/>
    </row>
    <row r="96" ht="12.0" customHeight="1">
      <c r="A96" s="111"/>
      <c r="B96" s="113"/>
      <c r="C96" s="116"/>
      <c r="D96" s="116"/>
      <c r="E96" s="116"/>
      <c r="F96" s="116"/>
      <c r="G96" s="116"/>
      <c r="H96" s="116"/>
      <c r="I96" s="122"/>
      <c r="J96" s="122"/>
      <c r="K96" s="122"/>
      <c r="L96" s="122"/>
      <c r="M96" s="122"/>
      <c r="N96" s="122"/>
      <c r="O96" s="122"/>
      <c r="P96" s="122"/>
      <c r="Q96" s="126"/>
      <c r="R96" s="116"/>
      <c r="S96" s="127"/>
      <c r="T96" s="3"/>
      <c r="U96" s="3"/>
      <c r="V96" s="3"/>
      <c r="W96" s="3"/>
      <c r="X96" s="3"/>
      <c r="Y96" s="3"/>
      <c r="Z96" s="3"/>
    </row>
    <row r="97" ht="12.0" customHeight="1">
      <c r="A97" s="111"/>
      <c r="B97" s="113"/>
      <c r="C97" s="116"/>
      <c r="D97" s="116"/>
      <c r="E97" s="116"/>
      <c r="F97" s="116"/>
      <c r="G97" s="116"/>
      <c r="H97" s="116"/>
      <c r="I97" s="122"/>
      <c r="J97" s="122"/>
      <c r="K97" s="122"/>
      <c r="L97" s="122"/>
      <c r="M97" s="122"/>
      <c r="N97" s="122"/>
      <c r="O97" s="122"/>
      <c r="P97" s="122"/>
      <c r="Q97" s="126"/>
      <c r="R97" s="116"/>
      <c r="S97" s="127"/>
      <c r="T97" s="3"/>
      <c r="U97" s="3"/>
      <c r="V97" s="3"/>
      <c r="W97" s="3"/>
      <c r="X97" s="3"/>
      <c r="Y97" s="3"/>
      <c r="Z97" s="3"/>
    </row>
    <row r="98" ht="12.0" customHeight="1">
      <c r="A98" s="111"/>
      <c r="B98" s="113"/>
      <c r="C98" s="116"/>
      <c r="D98" s="116"/>
      <c r="E98" s="116"/>
      <c r="F98" s="116"/>
      <c r="G98" s="116"/>
      <c r="H98" s="116"/>
      <c r="I98" s="122"/>
      <c r="J98" s="122"/>
      <c r="K98" s="122"/>
      <c r="L98" s="122"/>
      <c r="M98" s="122"/>
      <c r="N98" s="122"/>
      <c r="O98" s="122"/>
      <c r="P98" s="122"/>
      <c r="Q98" s="126"/>
      <c r="R98" s="116"/>
      <c r="S98" s="127"/>
      <c r="T98" s="3"/>
      <c r="U98" s="3"/>
      <c r="V98" s="3"/>
      <c r="W98" s="3"/>
      <c r="X98" s="3"/>
      <c r="Y98" s="3"/>
      <c r="Z98" s="3"/>
    </row>
    <row r="99" ht="12.0" customHeight="1">
      <c r="A99" s="111"/>
      <c r="B99" s="113"/>
      <c r="C99" s="116"/>
      <c r="D99" s="116"/>
      <c r="E99" s="116"/>
      <c r="F99" s="116"/>
      <c r="G99" s="116"/>
      <c r="H99" s="116"/>
      <c r="I99" s="122"/>
      <c r="J99" s="122"/>
      <c r="K99" s="122"/>
      <c r="L99" s="122"/>
      <c r="M99" s="122"/>
      <c r="N99" s="122"/>
      <c r="O99" s="122"/>
      <c r="P99" s="122"/>
      <c r="Q99" s="126"/>
      <c r="R99" s="116"/>
      <c r="S99" s="127"/>
      <c r="T99" s="3"/>
      <c r="U99" s="3"/>
      <c r="V99" s="3"/>
      <c r="W99" s="3"/>
      <c r="X99" s="3"/>
      <c r="Y99" s="3"/>
      <c r="Z99" s="3"/>
    </row>
    <row r="100" ht="12.0" customHeight="1">
      <c r="A100" s="111"/>
      <c r="B100" s="113"/>
      <c r="C100" s="116"/>
      <c r="D100" s="116"/>
      <c r="E100" s="116"/>
      <c r="F100" s="116"/>
      <c r="G100" s="116"/>
      <c r="H100" s="116"/>
      <c r="I100" s="122"/>
      <c r="J100" s="122"/>
      <c r="K100" s="122"/>
      <c r="L100" s="122"/>
      <c r="M100" s="122"/>
      <c r="N100" s="122"/>
      <c r="O100" s="122"/>
      <c r="P100" s="122"/>
      <c r="Q100" s="126"/>
      <c r="R100" s="116"/>
      <c r="S100" s="127"/>
      <c r="T100" s="3"/>
      <c r="U100" s="3"/>
      <c r="V100" s="3"/>
      <c r="W100" s="3"/>
      <c r="X100" s="3"/>
      <c r="Y100" s="3"/>
      <c r="Z100" s="3"/>
    </row>
    <row r="101" ht="12.0" customHeight="1">
      <c r="A101" s="111"/>
      <c r="B101" s="113"/>
      <c r="C101" s="116"/>
      <c r="D101" s="116"/>
      <c r="E101" s="116"/>
      <c r="F101" s="116"/>
      <c r="G101" s="116"/>
      <c r="H101" s="116"/>
      <c r="I101" s="122"/>
      <c r="J101" s="122"/>
      <c r="K101" s="122"/>
      <c r="L101" s="122"/>
      <c r="M101" s="122"/>
      <c r="N101" s="122"/>
      <c r="O101" s="122"/>
      <c r="P101" s="122"/>
      <c r="Q101" s="126"/>
      <c r="R101" s="116"/>
      <c r="S101" s="127"/>
      <c r="T101" s="3"/>
      <c r="U101" s="3"/>
      <c r="V101" s="3"/>
      <c r="W101" s="3"/>
      <c r="X101" s="3"/>
      <c r="Y101" s="3"/>
      <c r="Z101" s="3"/>
    </row>
    <row r="102" ht="12.0" customHeight="1">
      <c r="A102" s="111"/>
      <c r="B102" s="113"/>
      <c r="C102" s="116"/>
      <c r="D102" s="116"/>
      <c r="E102" s="116"/>
      <c r="F102" s="116"/>
      <c r="G102" s="116"/>
      <c r="H102" s="116"/>
      <c r="I102" s="122"/>
      <c r="J102" s="122"/>
      <c r="K102" s="122"/>
      <c r="L102" s="122"/>
      <c r="M102" s="122"/>
      <c r="N102" s="122"/>
      <c r="O102" s="122"/>
      <c r="P102" s="122"/>
      <c r="Q102" s="126"/>
      <c r="R102" s="116"/>
      <c r="S102" s="127"/>
      <c r="T102" s="3"/>
      <c r="U102" s="3"/>
      <c r="V102" s="3"/>
      <c r="W102" s="3"/>
      <c r="X102" s="3"/>
      <c r="Y102" s="3"/>
      <c r="Z102" s="3"/>
    </row>
    <row r="103" ht="12.0" customHeight="1">
      <c r="A103" s="111"/>
      <c r="B103" s="113"/>
      <c r="C103" s="116"/>
      <c r="D103" s="116"/>
      <c r="E103" s="116"/>
      <c r="F103" s="116"/>
      <c r="G103" s="116"/>
      <c r="H103" s="116"/>
      <c r="I103" s="122"/>
      <c r="J103" s="122"/>
      <c r="K103" s="122"/>
      <c r="L103" s="122"/>
      <c r="M103" s="122"/>
      <c r="N103" s="122"/>
      <c r="O103" s="122"/>
      <c r="P103" s="122"/>
      <c r="Q103" s="126"/>
      <c r="R103" s="116"/>
      <c r="S103" s="127"/>
      <c r="T103" s="3"/>
      <c r="U103" s="3"/>
      <c r="V103" s="3"/>
      <c r="W103" s="3"/>
      <c r="X103" s="3"/>
      <c r="Y103" s="3"/>
      <c r="Z103" s="3"/>
    </row>
    <row r="104" ht="12.0" customHeight="1">
      <c r="A104" s="111"/>
      <c r="B104" s="113"/>
      <c r="C104" s="116"/>
      <c r="D104" s="116"/>
      <c r="E104" s="116"/>
      <c r="F104" s="116"/>
      <c r="G104" s="116"/>
      <c r="H104" s="116"/>
      <c r="I104" s="122"/>
      <c r="J104" s="122"/>
      <c r="K104" s="122"/>
      <c r="L104" s="122"/>
      <c r="M104" s="122"/>
      <c r="N104" s="122"/>
      <c r="O104" s="122"/>
      <c r="P104" s="122"/>
      <c r="Q104" s="126"/>
      <c r="R104" s="116"/>
      <c r="S104" s="127"/>
      <c r="T104" s="3"/>
      <c r="U104" s="3"/>
      <c r="V104" s="3"/>
      <c r="W104" s="3"/>
      <c r="X104" s="3"/>
      <c r="Y104" s="3"/>
      <c r="Z104" s="3"/>
    </row>
    <row r="105" ht="12.0" customHeight="1">
      <c r="A105" s="111"/>
      <c r="B105" s="113"/>
      <c r="C105" s="116"/>
      <c r="D105" s="116"/>
      <c r="E105" s="116"/>
      <c r="F105" s="116"/>
      <c r="G105" s="116"/>
      <c r="H105" s="116"/>
      <c r="I105" s="122"/>
      <c r="J105" s="122"/>
      <c r="K105" s="122"/>
      <c r="L105" s="122"/>
      <c r="M105" s="122"/>
      <c r="N105" s="122"/>
      <c r="O105" s="122"/>
      <c r="P105" s="122"/>
      <c r="Q105" s="126"/>
      <c r="R105" s="116"/>
      <c r="S105" s="127"/>
      <c r="T105" s="3"/>
      <c r="U105" s="3"/>
      <c r="V105" s="3"/>
      <c r="W105" s="3"/>
      <c r="X105" s="3"/>
      <c r="Y105" s="3"/>
      <c r="Z105" s="3"/>
    </row>
    <row r="106" ht="12.0" customHeight="1">
      <c r="A106" s="111"/>
      <c r="B106" s="113"/>
      <c r="C106" s="116"/>
      <c r="D106" s="116"/>
      <c r="E106" s="116"/>
      <c r="F106" s="116"/>
      <c r="G106" s="116"/>
      <c r="H106" s="116"/>
      <c r="I106" s="122"/>
      <c r="J106" s="122"/>
      <c r="K106" s="122"/>
      <c r="L106" s="122"/>
      <c r="M106" s="122"/>
      <c r="N106" s="122"/>
      <c r="O106" s="122"/>
      <c r="P106" s="122"/>
      <c r="Q106" s="126"/>
      <c r="R106" s="116"/>
      <c r="S106" s="127"/>
      <c r="T106" s="3"/>
      <c r="U106" s="3"/>
      <c r="V106" s="3"/>
      <c r="W106" s="3"/>
      <c r="X106" s="3"/>
      <c r="Y106" s="3"/>
      <c r="Z106" s="3"/>
    </row>
    <row r="107" ht="12.0" customHeight="1">
      <c r="A107" s="111"/>
      <c r="B107" s="113"/>
      <c r="C107" s="116"/>
      <c r="D107" s="116"/>
      <c r="E107" s="116"/>
      <c r="F107" s="116"/>
      <c r="G107" s="116"/>
      <c r="H107" s="116"/>
      <c r="I107" s="122"/>
      <c r="J107" s="122"/>
      <c r="K107" s="122"/>
      <c r="L107" s="122"/>
      <c r="M107" s="122"/>
      <c r="N107" s="122"/>
      <c r="O107" s="122"/>
      <c r="P107" s="122"/>
      <c r="Q107" s="126"/>
      <c r="R107" s="116"/>
      <c r="S107" s="127"/>
      <c r="T107" s="3"/>
      <c r="U107" s="3"/>
      <c r="V107" s="3"/>
      <c r="W107" s="3"/>
      <c r="X107" s="3"/>
      <c r="Y107" s="3"/>
      <c r="Z107" s="3"/>
    </row>
    <row r="108" ht="12.0" customHeight="1">
      <c r="A108" s="111"/>
      <c r="B108" s="113"/>
      <c r="C108" s="116"/>
      <c r="D108" s="116"/>
      <c r="E108" s="116"/>
      <c r="F108" s="116"/>
      <c r="G108" s="116"/>
      <c r="H108" s="116"/>
      <c r="I108" s="122"/>
      <c r="J108" s="122"/>
      <c r="K108" s="122"/>
      <c r="L108" s="122"/>
      <c r="M108" s="122"/>
      <c r="N108" s="122"/>
      <c r="O108" s="122"/>
      <c r="P108" s="122"/>
      <c r="Q108" s="126"/>
      <c r="R108" s="116"/>
      <c r="S108" s="127"/>
      <c r="T108" s="3"/>
      <c r="U108" s="3"/>
      <c r="V108" s="3"/>
      <c r="W108" s="3"/>
      <c r="X108" s="3"/>
      <c r="Y108" s="3"/>
      <c r="Z108" s="3"/>
    </row>
    <row r="109" ht="12.0" customHeight="1">
      <c r="A109" s="111"/>
      <c r="B109" s="113"/>
      <c r="C109" s="116"/>
      <c r="D109" s="116"/>
      <c r="E109" s="116"/>
      <c r="F109" s="116"/>
      <c r="G109" s="116"/>
      <c r="H109" s="116"/>
      <c r="I109" s="122"/>
      <c r="J109" s="122"/>
      <c r="K109" s="122"/>
      <c r="L109" s="122"/>
      <c r="M109" s="122"/>
      <c r="N109" s="122"/>
      <c r="O109" s="122"/>
      <c r="P109" s="122"/>
      <c r="Q109" s="126"/>
      <c r="R109" s="116"/>
      <c r="S109" s="127"/>
      <c r="T109" s="3"/>
      <c r="U109" s="3"/>
      <c r="V109" s="3"/>
      <c r="W109" s="3"/>
      <c r="X109" s="3"/>
      <c r="Y109" s="3"/>
      <c r="Z109" s="3"/>
    </row>
    <row r="110" ht="12.0" customHeight="1">
      <c r="A110" s="111"/>
      <c r="B110" s="113"/>
      <c r="C110" s="116"/>
      <c r="D110" s="116"/>
      <c r="E110" s="116"/>
      <c r="F110" s="116"/>
      <c r="G110" s="116"/>
      <c r="H110" s="116"/>
      <c r="I110" s="122"/>
      <c r="J110" s="122"/>
      <c r="K110" s="122"/>
      <c r="L110" s="122"/>
      <c r="M110" s="122"/>
      <c r="N110" s="122"/>
      <c r="O110" s="122"/>
      <c r="P110" s="122"/>
      <c r="Q110" s="126"/>
      <c r="R110" s="116"/>
      <c r="S110" s="127"/>
      <c r="T110" s="3"/>
      <c r="U110" s="3"/>
      <c r="V110" s="3"/>
      <c r="W110" s="3"/>
      <c r="X110" s="3"/>
      <c r="Y110" s="3"/>
      <c r="Z110" s="3"/>
    </row>
    <row r="111" ht="12.0" customHeight="1">
      <c r="A111" s="111"/>
      <c r="B111" s="113"/>
      <c r="C111" s="116"/>
      <c r="D111" s="116"/>
      <c r="E111" s="116"/>
      <c r="F111" s="116"/>
      <c r="G111" s="116"/>
      <c r="H111" s="116"/>
      <c r="I111" s="122"/>
      <c r="J111" s="122"/>
      <c r="K111" s="122"/>
      <c r="L111" s="122"/>
      <c r="M111" s="122"/>
      <c r="N111" s="122"/>
      <c r="O111" s="122"/>
      <c r="P111" s="122"/>
      <c r="Q111" s="126"/>
      <c r="R111" s="116"/>
      <c r="S111" s="127"/>
      <c r="T111" s="3"/>
      <c r="U111" s="3"/>
      <c r="V111" s="3"/>
      <c r="W111" s="3"/>
      <c r="X111" s="3"/>
      <c r="Y111" s="3"/>
      <c r="Z111" s="3"/>
    </row>
    <row r="112" ht="12.0" customHeight="1">
      <c r="A112" s="111"/>
      <c r="B112" s="113"/>
      <c r="C112" s="116"/>
      <c r="D112" s="116"/>
      <c r="E112" s="116"/>
      <c r="F112" s="116"/>
      <c r="G112" s="116"/>
      <c r="H112" s="116"/>
      <c r="I112" s="122"/>
      <c r="J112" s="122"/>
      <c r="K112" s="122"/>
      <c r="L112" s="122"/>
      <c r="M112" s="122"/>
      <c r="N112" s="122"/>
      <c r="O112" s="122"/>
      <c r="P112" s="122"/>
      <c r="Q112" s="126"/>
      <c r="R112" s="116"/>
      <c r="S112" s="127"/>
      <c r="T112" s="3"/>
      <c r="U112" s="3"/>
      <c r="V112" s="3"/>
      <c r="W112" s="3"/>
      <c r="X112" s="3"/>
      <c r="Y112" s="3"/>
      <c r="Z112" s="3"/>
    </row>
    <row r="113" ht="12.0" customHeight="1">
      <c r="A113" s="111"/>
      <c r="B113" s="113"/>
      <c r="C113" s="116"/>
      <c r="D113" s="116"/>
      <c r="E113" s="116"/>
      <c r="F113" s="116"/>
      <c r="G113" s="116"/>
      <c r="H113" s="116"/>
      <c r="I113" s="122"/>
      <c r="J113" s="122"/>
      <c r="K113" s="122"/>
      <c r="L113" s="122"/>
      <c r="M113" s="122"/>
      <c r="N113" s="122"/>
      <c r="O113" s="122"/>
      <c r="P113" s="122"/>
      <c r="Q113" s="126"/>
      <c r="R113" s="116"/>
      <c r="S113" s="127"/>
      <c r="T113" s="3"/>
      <c r="U113" s="3"/>
      <c r="V113" s="3"/>
      <c r="W113" s="3"/>
      <c r="X113" s="3"/>
      <c r="Y113" s="3"/>
      <c r="Z113" s="3"/>
    </row>
    <row r="114" ht="12.0" customHeight="1">
      <c r="A114" s="111"/>
      <c r="B114" s="113"/>
      <c r="C114" s="116"/>
      <c r="D114" s="116"/>
      <c r="E114" s="116"/>
      <c r="F114" s="116"/>
      <c r="G114" s="116"/>
      <c r="H114" s="116"/>
      <c r="I114" s="122"/>
      <c r="J114" s="122"/>
      <c r="K114" s="122"/>
      <c r="L114" s="122"/>
      <c r="M114" s="122"/>
      <c r="N114" s="122"/>
      <c r="O114" s="122"/>
      <c r="P114" s="122"/>
      <c r="Q114" s="126"/>
      <c r="R114" s="116"/>
      <c r="S114" s="127"/>
      <c r="T114" s="3"/>
      <c r="U114" s="3"/>
      <c r="V114" s="3"/>
      <c r="W114" s="3"/>
      <c r="X114" s="3"/>
      <c r="Y114" s="3"/>
      <c r="Z114" s="3"/>
    </row>
    <row r="115" ht="12.0" customHeight="1">
      <c r="A115" s="111"/>
      <c r="B115" s="113"/>
      <c r="C115" s="116"/>
      <c r="D115" s="116"/>
      <c r="E115" s="116"/>
      <c r="F115" s="116"/>
      <c r="G115" s="116"/>
      <c r="H115" s="116"/>
      <c r="I115" s="122"/>
      <c r="J115" s="122"/>
      <c r="K115" s="122"/>
      <c r="L115" s="122"/>
      <c r="M115" s="122"/>
      <c r="N115" s="122"/>
      <c r="O115" s="122"/>
      <c r="P115" s="122"/>
      <c r="Q115" s="126"/>
      <c r="R115" s="116"/>
      <c r="S115" s="127"/>
      <c r="T115" s="3"/>
      <c r="U115" s="3"/>
      <c r="V115" s="3"/>
      <c r="W115" s="3"/>
      <c r="X115" s="3"/>
      <c r="Y115" s="3"/>
      <c r="Z115" s="3"/>
    </row>
    <row r="116" ht="12.0" customHeight="1">
      <c r="A116" s="111"/>
      <c r="B116" s="113"/>
      <c r="C116" s="116"/>
      <c r="D116" s="116"/>
      <c r="E116" s="116"/>
      <c r="F116" s="116"/>
      <c r="G116" s="116"/>
      <c r="H116" s="116"/>
      <c r="I116" s="122"/>
      <c r="J116" s="122"/>
      <c r="K116" s="122"/>
      <c r="L116" s="122"/>
      <c r="M116" s="122"/>
      <c r="N116" s="122"/>
      <c r="O116" s="122"/>
      <c r="P116" s="122"/>
      <c r="Q116" s="126"/>
      <c r="R116" s="116"/>
      <c r="S116" s="127"/>
      <c r="T116" s="3"/>
      <c r="U116" s="3"/>
      <c r="V116" s="3"/>
      <c r="W116" s="3"/>
      <c r="X116" s="3"/>
      <c r="Y116" s="3"/>
      <c r="Z116" s="3"/>
    </row>
    <row r="117" ht="12.0" customHeight="1">
      <c r="A117" s="111"/>
      <c r="B117" s="113"/>
      <c r="C117" s="116"/>
      <c r="D117" s="116"/>
      <c r="E117" s="116"/>
      <c r="F117" s="116"/>
      <c r="G117" s="116"/>
      <c r="H117" s="116"/>
      <c r="I117" s="122"/>
      <c r="J117" s="122"/>
      <c r="K117" s="122"/>
      <c r="L117" s="122"/>
      <c r="M117" s="122"/>
      <c r="N117" s="122"/>
      <c r="O117" s="122"/>
      <c r="P117" s="122"/>
      <c r="Q117" s="126"/>
      <c r="R117" s="116"/>
      <c r="S117" s="127"/>
      <c r="T117" s="3"/>
      <c r="U117" s="3"/>
      <c r="V117" s="3"/>
      <c r="W117" s="3"/>
      <c r="X117" s="3"/>
      <c r="Y117" s="3"/>
      <c r="Z117" s="3"/>
    </row>
    <row r="118" ht="12.0" customHeight="1">
      <c r="A118" s="111"/>
      <c r="B118" s="113"/>
      <c r="C118" s="116"/>
      <c r="D118" s="116"/>
      <c r="E118" s="116"/>
      <c r="F118" s="116"/>
      <c r="G118" s="116"/>
      <c r="H118" s="116"/>
      <c r="I118" s="122"/>
      <c r="J118" s="122"/>
      <c r="K118" s="122"/>
      <c r="L118" s="122"/>
      <c r="M118" s="122"/>
      <c r="N118" s="122"/>
      <c r="O118" s="122"/>
      <c r="P118" s="122"/>
      <c r="Q118" s="126"/>
      <c r="R118" s="116"/>
      <c r="S118" s="127"/>
      <c r="T118" s="3"/>
      <c r="U118" s="3"/>
      <c r="V118" s="3"/>
      <c r="W118" s="3"/>
      <c r="X118" s="3"/>
      <c r="Y118" s="3"/>
      <c r="Z118" s="3"/>
    </row>
    <row r="119" ht="12.0" customHeight="1">
      <c r="A119" s="111"/>
      <c r="B119" s="113"/>
      <c r="C119" s="116"/>
      <c r="D119" s="116"/>
      <c r="E119" s="116"/>
      <c r="F119" s="116"/>
      <c r="G119" s="116"/>
      <c r="H119" s="116"/>
      <c r="I119" s="122"/>
      <c r="J119" s="122"/>
      <c r="K119" s="122"/>
      <c r="L119" s="122"/>
      <c r="M119" s="122"/>
      <c r="N119" s="122"/>
      <c r="O119" s="122"/>
      <c r="P119" s="122"/>
      <c r="Q119" s="126"/>
      <c r="R119" s="116"/>
      <c r="S119" s="127"/>
      <c r="T119" s="3"/>
      <c r="U119" s="3"/>
      <c r="V119" s="3"/>
      <c r="W119" s="3"/>
      <c r="X119" s="3"/>
      <c r="Y119" s="3"/>
      <c r="Z119" s="3"/>
    </row>
    <row r="120" ht="12.0" customHeight="1">
      <c r="A120" s="111"/>
      <c r="B120" s="113"/>
      <c r="C120" s="116"/>
      <c r="D120" s="116"/>
      <c r="E120" s="116"/>
      <c r="F120" s="116"/>
      <c r="G120" s="116"/>
      <c r="H120" s="116"/>
      <c r="I120" s="122"/>
      <c r="J120" s="122"/>
      <c r="K120" s="122"/>
      <c r="L120" s="122"/>
      <c r="M120" s="122"/>
      <c r="N120" s="122"/>
      <c r="O120" s="122"/>
      <c r="P120" s="122"/>
      <c r="Q120" s="126"/>
      <c r="R120" s="116"/>
      <c r="S120" s="127"/>
      <c r="T120" s="3"/>
      <c r="U120" s="3"/>
      <c r="V120" s="3"/>
      <c r="W120" s="3"/>
      <c r="X120" s="3"/>
      <c r="Y120" s="3"/>
      <c r="Z120" s="3"/>
    </row>
    <row r="121" ht="12.0" customHeight="1">
      <c r="A121" s="111"/>
      <c r="B121" s="113"/>
      <c r="C121" s="116"/>
      <c r="D121" s="116"/>
      <c r="E121" s="116"/>
      <c r="F121" s="116"/>
      <c r="G121" s="116"/>
      <c r="H121" s="116"/>
      <c r="I121" s="122"/>
      <c r="J121" s="122"/>
      <c r="K121" s="122"/>
      <c r="L121" s="122"/>
      <c r="M121" s="122"/>
      <c r="N121" s="122"/>
      <c r="O121" s="122"/>
      <c r="P121" s="122"/>
      <c r="Q121" s="126"/>
      <c r="R121" s="116"/>
      <c r="S121" s="127"/>
      <c r="T121" s="3"/>
      <c r="U121" s="3"/>
      <c r="V121" s="3"/>
      <c r="W121" s="3"/>
      <c r="X121" s="3"/>
      <c r="Y121" s="3"/>
      <c r="Z121" s="3"/>
    </row>
    <row r="122" ht="12.0" customHeight="1">
      <c r="A122" s="111"/>
      <c r="B122" s="113"/>
      <c r="C122" s="116"/>
      <c r="D122" s="116"/>
      <c r="E122" s="116"/>
      <c r="F122" s="116"/>
      <c r="G122" s="116"/>
      <c r="H122" s="116"/>
      <c r="I122" s="122"/>
      <c r="J122" s="122"/>
      <c r="K122" s="122"/>
      <c r="L122" s="122"/>
      <c r="M122" s="122"/>
      <c r="N122" s="122"/>
      <c r="O122" s="122"/>
      <c r="P122" s="122"/>
      <c r="Q122" s="126"/>
      <c r="R122" s="116"/>
      <c r="S122" s="127"/>
      <c r="T122" s="3"/>
      <c r="U122" s="3"/>
      <c r="V122" s="3"/>
      <c r="W122" s="3"/>
      <c r="X122" s="3"/>
      <c r="Y122" s="3"/>
      <c r="Z122" s="3"/>
    </row>
    <row r="123" ht="12.0" customHeight="1">
      <c r="A123" s="111"/>
      <c r="B123" s="113"/>
      <c r="C123" s="116"/>
      <c r="D123" s="116"/>
      <c r="E123" s="116"/>
      <c r="F123" s="116"/>
      <c r="G123" s="116"/>
      <c r="H123" s="116"/>
      <c r="I123" s="122"/>
      <c r="J123" s="122"/>
      <c r="K123" s="122"/>
      <c r="L123" s="122"/>
      <c r="M123" s="122"/>
      <c r="N123" s="122"/>
      <c r="O123" s="122"/>
      <c r="P123" s="122"/>
      <c r="Q123" s="126"/>
      <c r="R123" s="116"/>
      <c r="S123" s="127"/>
      <c r="T123" s="3"/>
      <c r="U123" s="3"/>
      <c r="V123" s="3"/>
      <c r="W123" s="3"/>
      <c r="X123" s="3"/>
      <c r="Y123" s="3"/>
      <c r="Z123" s="3"/>
    </row>
    <row r="124" ht="12.0" customHeight="1">
      <c r="A124" s="111"/>
      <c r="B124" s="113"/>
      <c r="C124" s="116"/>
      <c r="D124" s="116"/>
      <c r="E124" s="116"/>
      <c r="F124" s="116"/>
      <c r="G124" s="116"/>
      <c r="H124" s="116"/>
      <c r="I124" s="122"/>
      <c r="J124" s="122"/>
      <c r="K124" s="122"/>
      <c r="L124" s="122"/>
      <c r="M124" s="122"/>
      <c r="N124" s="122"/>
      <c r="O124" s="122"/>
      <c r="P124" s="122"/>
      <c r="Q124" s="126"/>
      <c r="R124" s="116"/>
      <c r="S124" s="127"/>
      <c r="T124" s="3"/>
      <c r="U124" s="3"/>
      <c r="V124" s="3"/>
      <c r="W124" s="3"/>
      <c r="X124" s="3"/>
      <c r="Y124" s="3"/>
      <c r="Z124" s="3"/>
    </row>
    <row r="125" ht="12.0" customHeight="1">
      <c r="A125" s="111"/>
      <c r="B125" s="113"/>
      <c r="C125" s="116"/>
      <c r="D125" s="116"/>
      <c r="E125" s="116"/>
      <c r="F125" s="116"/>
      <c r="G125" s="116"/>
      <c r="H125" s="116"/>
      <c r="I125" s="122"/>
      <c r="J125" s="122"/>
      <c r="K125" s="122"/>
      <c r="L125" s="122"/>
      <c r="M125" s="122"/>
      <c r="N125" s="122"/>
      <c r="O125" s="122"/>
      <c r="P125" s="122"/>
      <c r="Q125" s="126"/>
      <c r="R125" s="116"/>
      <c r="S125" s="127"/>
      <c r="T125" s="3"/>
      <c r="U125" s="3"/>
      <c r="V125" s="3"/>
      <c r="W125" s="3"/>
      <c r="X125" s="3"/>
      <c r="Y125" s="3"/>
      <c r="Z125" s="3"/>
    </row>
    <row r="126" ht="12.0" customHeight="1">
      <c r="A126" s="111"/>
      <c r="B126" s="113"/>
      <c r="C126" s="116"/>
      <c r="D126" s="116"/>
      <c r="E126" s="116"/>
      <c r="F126" s="116"/>
      <c r="G126" s="116"/>
      <c r="H126" s="116"/>
      <c r="I126" s="122"/>
      <c r="J126" s="122"/>
      <c r="K126" s="122"/>
      <c r="L126" s="122"/>
      <c r="M126" s="122"/>
      <c r="N126" s="122"/>
      <c r="O126" s="122"/>
      <c r="P126" s="122"/>
      <c r="Q126" s="126"/>
      <c r="R126" s="116"/>
      <c r="S126" s="127"/>
      <c r="T126" s="3"/>
      <c r="U126" s="3"/>
      <c r="V126" s="3"/>
      <c r="W126" s="3"/>
      <c r="X126" s="3"/>
      <c r="Y126" s="3"/>
      <c r="Z126" s="3"/>
    </row>
    <row r="127" ht="12.0" customHeight="1">
      <c r="A127" s="111"/>
      <c r="B127" s="113"/>
      <c r="C127" s="116"/>
      <c r="D127" s="116"/>
      <c r="E127" s="116"/>
      <c r="F127" s="116"/>
      <c r="G127" s="116"/>
      <c r="H127" s="116"/>
      <c r="I127" s="122"/>
      <c r="J127" s="122"/>
      <c r="K127" s="122"/>
      <c r="L127" s="122"/>
      <c r="M127" s="122"/>
      <c r="N127" s="122"/>
      <c r="O127" s="122"/>
      <c r="P127" s="122"/>
      <c r="Q127" s="126"/>
      <c r="R127" s="116"/>
      <c r="S127" s="127"/>
      <c r="T127" s="3"/>
      <c r="U127" s="3"/>
      <c r="V127" s="3"/>
      <c r="W127" s="3"/>
      <c r="X127" s="3"/>
      <c r="Y127" s="3"/>
      <c r="Z127" s="3"/>
    </row>
    <row r="128" ht="12.0" customHeight="1">
      <c r="A128" s="111"/>
      <c r="B128" s="113"/>
      <c r="C128" s="116"/>
      <c r="D128" s="116"/>
      <c r="E128" s="116"/>
      <c r="F128" s="116"/>
      <c r="G128" s="116"/>
      <c r="H128" s="116"/>
      <c r="I128" s="122"/>
      <c r="J128" s="122"/>
      <c r="K128" s="122"/>
      <c r="L128" s="122"/>
      <c r="M128" s="122"/>
      <c r="N128" s="122"/>
      <c r="O128" s="122"/>
      <c r="P128" s="122"/>
      <c r="Q128" s="126"/>
      <c r="R128" s="116"/>
      <c r="S128" s="127"/>
      <c r="T128" s="3"/>
      <c r="U128" s="3"/>
      <c r="V128" s="3"/>
      <c r="W128" s="3"/>
      <c r="X128" s="3"/>
      <c r="Y128" s="3"/>
      <c r="Z128" s="3"/>
    </row>
    <row r="129" ht="12.0" customHeight="1">
      <c r="A129" s="111"/>
      <c r="B129" s="113"/>
      <c r="C129" s="116"/>
      <c r="D129" s="116"/>
      <c r="E129" s="116"/>
      <c r="F129" s="116"/>
      <c r="G129" s="116"/>
      <c r="H129" s="116"/>
      <c r="I129" s="122"/>
      <c r="J129" s="122"/>
      <c r="K129" s="122"/>
      <c r="L129" s="122"/>
      <c r="M129" s="122"/>
      <c r="N129" s="122"/>
      <c r="O129" s="122"/>
      <c r="P129" s="122"/>
      <c r="Q129" s="126"/>
      <c r="R129" s="116"/>
      <c r="S129" s="127"/>
      <c r="T129" s="3"/>
      <c r="U129" s="3"/>
      <c r="V129" s="3"/>
      <c r="W129" s="3"/>
      <c r="X129" s="3"/>
      <c r="Y129" s="3"/>
      <c r="Z129" s="3"/>
    </row>
    <row r="130" ht="12.0" customHeight="1">
      <c r="A130" s="111"/>
      <c r="B130" s="113"/>
      <c r="C130" s="116"/>
      <c r="D130" s="116"/>
      <c r="E130" s="116"/>
      <c r="F130" s="116"/>
      <c r="G130" s="116"/>
      <c r="H130" s="116"/>
      <c r="I130" s="122"/>
      <c r="J130" s="122"/>
      <c r="K130" s="122"/>
      <c r="L130" s="122"/>
      <c r="M130" s="122"/>
      <c r="N130" s="122"/>
      <c r="O130" s="122"/>
      <c r="P130" s="122"/>
      <c r="Q130" s="126"/>
      <c r="R130" s="116"/>
      <c r="S130" s="127"/>
      <c r="T130" s="3"/>
      <c r="U130" s="3"/>
      <c r="V130" s="3"/>
      <c r="W130" s="3"/>
      <c r="X130" s="3"/>
      <c r="Y130" s="3"/>
      <c r="Z130" s="3"/>
    </row>
    <row r="131" ht="12.0" customHeight="1">
      <c r="A131" s="111"/>
      <c r="B131" s="113"/>
      <c r="C131" s="116"/>
      <c r="D131" s="116"/>
      <c r="E131" s="116"/>
      <c r="F131" s="116"/>
      <c r="G131" s="116"/>
      <c r="H131" s="116"/>
      <c r="I131" s="122"/>
      <c r="J131" s="122"/>
      <c r="K131" s="122"/>
      <c r="L131" s="122"/>
      <c r="M131" s="122"/>
      <c r="N131" s="122"/>
      <c r="O131" s="122"/>
      <c r="P131" s="122"/>
      <c r="Q131" s="126"/>
      <c r="R131" s="116"/>
      <c r="S131" s="127"/>
      <c r="T131" s="3"/>
      <c r="U131" s="3"/>
      <c r="V131" s="3"/>
      <c r="W131" s="3"/>
      <c r="X131" s="3"/>
      <c r="Y131" s="3"/>
      <c r="Z131" s="3"/>
    </row>
    <row r="132" ht="12.0" customHeight="1">
      <c r="A132" s="111"/>
      <c r="B132" s="113"/>
      <c r="C132" s="116"/>
      <c r="D132" s="116"/>
      <c r="E132" s="116"/>
      <c r="F132" s="116"/>
      <c r="G132" s="116"/>
      <c r="H132" s="116"/>
      <c r="I132" s="122"/>
      <c r="J132" s="122"/>
      <c r="K132" s="122"/>
      <c r="L132" s="122"/>
      <c r="M132" s="122"/>
      <c r="N132" s="122"/>
      <c r="O132" s="122"/>
      <c r="P132" s="122"/>
      <c r="Q132" s="126"/>
      <c r="R132" s="116"/>
      <c r="S132" s="127"/>
      <c r="T132" s="3"/>
      <c r="U132" s="3"/>
      <c r="V132" s="3"/>
      <c r="W132" s="3"/>
      <c r="X132" s="3"/>
      <c r="Y132" s="3"/>
      <c r="Z132" s="3"/>
    </row>
    <row r="133" ht="12.0" customHeight="1">
      <c r="A133" s="111"/>
      <c r="B133" s="113"/>
      <c r="C133" s="116"/>
      <c r="D133" s="116"/>
      <c r="E133" s="116"/>
      <c r="F133" s="116"/>
      <c r="G133" s="116"/>
      <c r="H133" s="116"/>
      <c r="I133" s="122"/>
      <c r="J133" s="122"/>
      <c r="K133" s="122"/>
      <c r="L133" s="122"/>
      <c r="M133" s="122"/>
      <c r="N133" s="122"/>
      <c r="O133" s="122"/>
      <c r="P133" s="122"/>
      <c r="Q133" s="126"/>
      <c r="R133" s="116"/>
      <c r="S133" s="127"/>
      <c r="T133" s="3"/>
      <c r="U133" s="3"/>
      <c r="V133" s="3"/>
      <c r="W133" s="3"/>
      <c r="X133" s="3"/>
      <c r="Y133" s="3"/>
      <c r="Z133" s="3"/>
    </row>
    <row r="134" ht="12.0" customHeight="1">
      <c r="A134" s="111"/>
      <c r="B134" s="113"/>
      <c r="C134" s="116"/>
      <c r="D134" s="116"/>
      <c r="E134" s="116"/>
      <c r="F134" s="116"/>
      <c r="G134" s="116"/>
      <c r="H134" s="116"/>
      <c r="I134" s="122"/>
      <c r="J134" s="122"/>
      <c r="K134" s="122"/>
      <c r="L134" s="122"/>
      <c r="M134" s="122"/>
      <c r="N134" s="122"/>
      <c r="O134" s="122"/>
      <c r="P134" s="122"/>
      <c r="Q134" s="126"/>
      <c r="R134" s="116"/>
      <c r="S134" s="127"/>
      <c r="T134" s="3"/>
      <c r="U134" s="3"/>
      <c r="V134" s="3"/>
      <c r="W134" s="3"/>
      <c r="X134" s="3"/>
      <c r="Y134" s="3"/>
      <c r="Z134" s="3"/>
    </row>
    <row r="135" ht="12.0" customHeight="1">
      <c r="A135" s="111"/>
      <c r="B135" s="113"/>
      <c r="C135" s="116"/>
      <c r="D135" s="116"/>
      <c r="E135" s="116"/>
      <c r="F135" s="116"/>
      <c r="G135" s="116"/>
      <c r="H135" s="116"/>
      <c r="I135" s="122"/>
      <c r="J135" s="122"/>
      <c r="K135" s="122"/>
      <c r="L135" s="122"/>
      <c r="M135" s="122"/>
      <c r="N135" s="122"/>
      <c r="O135" s="122"/>
      <c r="P135" s="122"/>
      <c r="Q135" s="126"/>
      <c r="R135" s="116"/>
      <c r="S135" s="127"/>
      <c r="T135" s="3"/>
      <c r="U135" s="3"/>
      <c r="V135" s="3"/>
      <c r="W135" s="3"/>
      <c r="X135" s="3"/>
      <c r="Y135" s="3"/>
      <c r="Z135" s="3"/>
    </row>
    <row r="136" ht="12.0" customHeight="1">
      <c r="A136" s="111"/>
      <c r="B136" s="113"/>
      <c r="C136" s="116"/>
      <c r="D136" s="116"/>
      <c r="E136" s="116"/>
      <c r="F136" s="116"/>
      <c r="G136" s="116"/>
      <c r="H136" s="116"/>
      <c r="I136" s="122"/>
      <c r="J136" s="122"/>
      <c r="K136" s="122"/>
      <c r="L136" s="122"/>
      <c r="M136" s="122"/>
      <c r="N136" s="122"/>
      <c r="O136" s="122"/>
      <c r="P136" s="122"/>
      <c r="Q136" s="126"/>
      <c r="R136" s="116"/>
      <c r="S136" s="127"/>
      <c r="T136" s="3"/>
      <c r="U136" s="3"/>
      <c r="V136" s="3"/>
      <c r="W136" s="3"/>
      <c r="X136" s="3"/>
      <c r="Y136" s="3"/>
      <c r="Z136" s="3"/>
    </row>
    <row r="137" ht="12.0" customHeight="1">
      <c r="A137" s="111"/>
      <c r="B137" s="113"/>
      <c r="C137" s="116"/>
      <c r="D137" s="116"/>
      <c r="E137" s="116"/>
      <c r="F137" s="116"/>
      <c r="G137" s="116"/>
      <c r="H137" s="116"/>
      <c r="I137" s="122"/>
      <c r="J137" s="122"/>
      <c r="K137" s="122"/>
      <c r="L137" s="122"/>
      <c r="M137" s="122"/>
      <c r="N137" s="122"/>
      <c r="O137" s="122"/>
      <c r="P137" s="122"/>
      <c r="Q137" s="126"/>
      <c r="R137" s="116"/>
      <c r="S137" s="127"/>
      <c r="T137" s="3"/>
      <c r="U137" s="3"/>
      <c r="V137" s="3"/>
      <c r="W137" s="3"/>
      <c r="X137" s="3"/>
      <c r="Y137" s="3"/>
      <c r="Z137" s="3"/>
    </row>
    <row r="138" ht="12.0" customHeight="1">
      <c r="A138" s="111"/>
      <c r="B138" s="113"/>
      <c r="C138" s="116"/>
      <c r="D138" s="116"/>
      <c r="E138" s="116"/>
      <c r="F138" s="116"/>
      <c r="G138" s="116"/>
      <c r="H138" s="116"/>
      <c r="I138" s="122"/>
      <c r="J138" s="122"/>
      <c r="K138" s="122"/>
      <c r="L138" s="122"/>
      <c r="M138" s="122"/>
      <c r="N138" s="122"/>
      <c r="O138" s="122"/>
      <c r="P138" s="122"/>
      <c r="Q138" s="126"/>
      <c r="R138" s="116"/>
      <c r="S138" s="127"/>
      <c r="T138" s="3"/>
      <c r="U138" s="3"/>
      <c r="V138" s="3"/>
      <c r="W138" s="3"/>
      <c r="X138" s="3"/>
      <c r="Y138" s="3"/>
      <c r="Z138" s="3"/>
    </row>
    <row r="139" ht="12.0" customHeight="1">
      <c r="A139" s="111"/>
      <c r="B139" s="113"/>
      <c r="C139" s="116"/>
      <c r="D139" s="116"/>
      <c r="E139" s="116"/>
      <c r="F139" s="116"/>
      <c r="G139" s="116"/>
      <c r="H139" s="116"/>
      <c r="I139" s="122"/>
      <c r="J139" s="122"/>
      <c r="K139" s="122"/>
      <c r="L139" s="122"/>
      <c r="M139" s="122"/>
      <c r="N139" s="122"/>
      <c r="O139" s="122"/>
      <c r="P139" s="122"/>
      <c r="Q139" s="126"/>
      <c r="R139" s="116"/>
      <c r="S139" s="127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113"/>
      <c r="C140" s="116"/>
      <c r="D140" s="116"/>
      <c r="E140" s="116"/>
      <c r="F140" s="116"/>
      <c r="G140" s="116"/>
      <c r="H140" s="116"/>
      <c r="I140" s="122"/>
      <c r="J140" s="122"/>
      <c r="K140" s="122"/>
      <c r="L140" s="122"/>
      <c r="M140" s="122"/>
      <c r="N140" s="122"/>
      <c r="O140" s="122"/>
      <c r="P140" s="122"/>
      <c r="Q140" s="126"/>
      <c r="R140" s="116"/>
      <c r="S140" s="127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113"/>
      <c r="C141" s="116"/>
      <c r="D141" s="116"/>
      <c r="E141" s="116"/>
      <c r="F141" s="116"/>
      <c r="G141" s="116"/>
      <c r="H141" s="116"/>
      <c r="I141" s="122"/>
      <c r="J141" s="122"/>
      <c r="K141" s="122"/>
      <c r="L141" s="122"/>
      <c r="M141" s="122"/>
      <c r="N141" s="122"/>
      <c r="O141" s="122"/>
      <c r="P141" s="122"/>
      <c r="Q141" s="126"/>
      <c r="R141" s="116"/>
      <c r="S141" s="127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113"/>
      <c r="C142" s="116"/>
      <c r="D142" s="116"/>
      <c r="E142" s="116"/>
      <c r="F142" s="116"/>
      <c r="G142" s="116"/>
      <c r="H142" s="116"/>
      <c r="I142" s="122"/>
      <c r="J142" s="122"/>
      <c r="K142" s="122"/>
      <c r="L142" s="122"/>
      <c r="M142" s="122"/>
      <c r="N142" s="122"/>
      <c r="O142" s="122"/>
      <c r="P142" s="122"/>
      <c r="Q142" s="126"/>
      <c r="R142" s="116"/>
      <c r="S142" s="127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113"/>
      <c r="C143" s="116"/>
      <c r="D143" s="116"/>
      <c r="E143" s="116"/>
      <c r="F143" s="116"/>
      <c r="G143" s="116"/>
      <c r="H143" s="116"/>
      <c r="I143" s="122"/>
      <c r="J143" s="122"/>
      <c r="K143" s="122"/>
      <c r="L143" s="122"/>
      <c r="M143" s="122"/>
      <c r="N143" s="122"/>
      <c r="O143" s="122"/>
      <c r="P143" s="122"/>
      <c r="Q143" s="126"/>
      <c r="R143" s="116"/>
      <c r="S143" s="127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113"/>
      <c r="C144" s="116"/>
      <c r="D144" s="116"/>
      <c r="E144" s="116"/>
      <c r="F144" s="116"/>
      <c r="G144" s="116"/>
      <c r="H144" s="116"/>
      <c r="I144" s="122"/>
      <c r="J144" s="122"/>
      <c r="K144" s="122"/>
      <c r="L144" s="122"/>
      <c r="M144" s="122"/>
      <c r="N144" s="122"/>
      <c r="O144" s="122"/>
      <c r="P144" s="122"/>
      <c r="Q144" s="126"/>
      <c r="R144" s="116"/>
      <c r="S144" s="127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4"/>
      <c r="C145" s="4"/>
      <c r="D145" s="4"/>
      <c r="E145" s="4"/>
      <c r="F145" s="3"/>
      <c r="G145" s="3"/>
      <c r="H145" s="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4"/>
      <c r="C146" s="4"/>
      <c r="D146" s="4"/>
      <c r="E146" s="4"/>
      <c r="F146" s="3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4"/>
      <c r="C147" s="4"/>
      <c r="D147" s="4"/>
      <c r="E147" s="4"/>
      <c r="F147" s="3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4"/>
      <c r="C148" s="4"/>
      <c r="D148" s="4"/>
      <c r="E148" s="4"/>
      <c r="F148" s="3"/>
      <c r="G148" s="3"/>
      <c r="H148" s="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4"/>
      <c r="C149" s="4"/>
      <c r="D149" s="4"/>
      <c r="E149" s="4"/>
      <c r="F149" s="3"/>
      <c r="G149" s="3"/>
      <c r="H149" s="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4"/>
      <c r="C150" s="4"/>
      <c r="D150" s="4"/>
      <c r="E150" s="4"/>
      <c r="F150" s="3"/>
      <c r="G150" s="3"/>
      <c r="H150" s="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4"/>
      <c r="C151" s="4"/>
      <c r="D151" s="4"/>
      <c r="E151" s="4"/>
      <c r="F151" s="3"/>
      <c r="G151" s="3"/>
      <c r="H151" s="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4"/>
      <c r="C152" s="4"/>
      <c r="D152" s="4"/>
      <c r="E152" s="4"/>
      <c r="F152" s="3"/>
      <c r="G152" s="3"/>
      <c r="H152" s="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4"/>
      <c r="C153" s="4"/>
      <c r="D153" s="4"/>
      <c r="E153" s="4"/>
      <c r="F153" s="3"/>
      <c r="G153" s="3"/>
      <c r="H153" s="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4"/>
      <c r="C154" s="4"/>
      <c r="D154" s="4"/>
      <c r="E154" s="4"/>
      <c r="F154" s="3"/>
      <c r="G154" s="3"/>
      <c r="H154" s="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4"/>
      <c r="C155" s="4"/>
      <c r="D155" s="4"/>
      <c r="E155" s="4"/>
      <c r="F155" s="3"/>
      <c r="G155" s="3"/>
      <c r="H155" s="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4"/>
      <c r="C156" s="4"/>
      <c r="D156" s="4"/>
      <c r="E156" s="4"/>
      <c r="F156" s="3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4"/>
      <c r="C157" s="4"/>
      <c r="D157" s="4"/>
      <c r="E157" s="4"/>
      <c r="F157" s="3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4"/>
      <c r="C158" s="4"/>
      <c r="D158" s="4"/>
      <c r="E158" s="4"/>
      <c r="F158" s="3"/>
      <c r="G158" s="3"/>
      <c r="H158" s="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4"/>
      <c r="C159" s="4"/>
      <c r="D159" s="4"/>
      <c r="E159" s="4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4"/>
      <c r="C160" s="4"/>
      <c r="D160" s="4"/>
      <c r="E160" s="4"/>
      <c r="F160" s="3"/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4"/>
      <c r="C161" s="4"/>
      <c r="D161" s="4"/>
      <c r="E161" s="4"/>
      <c r="F161" s="3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4"/>
      <c r="C162" s="4"/>
      <c r="D162" s="4"/>
      <c r="E162" s="4"/>
      <c r="F162" s="3"/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4"/>
      <c r="C163" s="4"/>
      <c r="D163" s="4"/>
      <c r="E163" s="4"/>
      <c r="F163" s="3"/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4"/>
      <c r="C164" s="4"/>
      <c r="D164" s="4"/>
      <c r="E164" s="4"/>
      <c r="F164" s="3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4"/>
      <c r="C165" s="4"/>
      <c r="D165" s="4"/>
      <c r="E165" s="4"/>
      <c r="F165" s="3"/>
      <c r="G165" s="3"/>
      <c r="H165" s="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4"/>
      <c r="C166" s="4"/>
      <c r="D166" s="4"/>
      <c r="E166" s="4"/>
      <c r="F166" s="3"/>
      <c r="G166" s="3"/>
      <c r="H166" s="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4"/>
      <c r="C167" s="4"/>
      <c r="D167" s="4"/>
      <c r="E167" s="4"/>
      <c r="F167" s="3"/>
      <c r="G167" s="3"/>
      <c r="H167" s="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4"/>
      <c r="C168" s="4"/>
      <c r="D168" s="4"/>
      <c r="E168" s="4"/>
      <c r="F168" s="3"/>
      <c r="G168" s="3"/>
      <c r="H168" s="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4"/>
      <c r="C169" s="4"/>
      <c r="D169" s="4"/>
      <c r="E169" s="4"/>
      <c r="F169" s="3"/>
      <c r="G169" s="3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4"/>
      <c r="C170" s="4"/>
      <c r="D170" s="4"/>
      <c r="E170" s="4"/>
      <c r="F170" s="3"/>
      <c r="G170" s="3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4"/>
      <c r="C171" s="4"/>
      <c r="D171" s="4"/>
      <c r="E171" s="4"/>
      <c r="F171" s="3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4"/>
      <c r="C172" s="4"/>
      <c r="D172" s="4"/>
      <c r="E172" s="4"/>
      <c r="F172" s="3"/>
      <c r="G172" s="3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4"/>
      <c r="C173" s="4"/>
      <c r="D173" s="4"/>
      <c r="E173" s="4"/>
      <c r="F173" s="3"/>
      <c r="G173" s="3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4"/>
      <c r="C174" s="4"/>
      <c r="D174" s="4"/>
      <c r="E174" s="4"/>
      <c r="F174" s="3"/>
      <c r="G174" s="3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4"/>
      <c r="C175" s="4"/>
      <c r="D175" s="4"/>
      <c r="E175" s="4"/>
      <c r="F175" s="3"/>
      <c r="G175" s="3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4"/>
      <c r="C176" s="4"/>
      <c r="D176" s="4"/>
      <c r="E176" s="4"/>
      <c r="F176" s="3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4"/>
      <c r="C177" s="4"/>
      <c r="D177" s="4"/>
      <c r="E177" s="4"/>
      <c r="F177" s="3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4"/>
      <c r="C178" s="4"/>
      <c r="D178" s="4"/>
      <c r="E178" s="4"/>
      <c r="F178" s="3"/>
      <c r="G178" s="3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4"/>
      <c r="C179" s="4"/>
      <c r="D179" s="4"/>
      <c r="E179" s="4"/>
      <c r="F179" s="3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4"/>
      <c r="C180" s="4"/>
      <c r="D180" s="4"/>
      <c r="E180" s="4"/>
      <c r="F180" s="3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4"/>
      <c r="C181" s="4"/>
      <c r="D181" s="4"/>
      <c r="E181" s="4"/>
      <c r="F181" s="3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4"/>
      <c r="C182" s="4"/>
      <c r="D182" s="4"/>
      <c r="E182" s="4"/>
      <c r="F182" s="3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4"/>
      <c r="C183" s="4"/>
      <c r="D183" s="4"/>
      <c r="E183" s="4"/>
      <c r="F183" s="3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4"/>
      <c r="C184" s="4"/>
      <c r="D184" s="4"/>
      <c r="E184" s="4"/>
      <c r="F184" s="3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4"/>
      <c r="C185" s="4"/>
      <c r="D185" s="4"/>
      <c r="E185" s="4"/>
      <c r="F185" s="3"/>
      <c r="G185" s="3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4"/>
      <c r="C186" s="4"/>
      <c r="D186" s="4"/>
      <c r="E186" s="4"/>
      <c r="F186" s="3"/>
      <c r="G186" s="3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4"/>
      <c r="C187" s="4"/>
      <c r="D187" s="4"/>
      <c r="E187" s="4"/>
      <c r="F187" s="3"/>
      <c r="G187" s="3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4"/>
      <c r="C188" s="4"/>
      <c r="D188" s="4"/>
      <c r="E188" s="4"/>
      <c r="F188" s="3"/>
      <c r="G188" s="3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4"/>
      <c r="C189" s="4"/>
      <c r="D189" s="4"/>
      <c r="E189" s="4"/>
      <c r="F189" s="3"/>
      <c r="G189" s="3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4"/>
      <c r="C190" s="4"/>
      <c r="D190" s="4"/>
      <c r="E190" s="4"/>
      <c r="F190" s="3"/>
      <c r="G190" s="3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4"/>
      <c r="C191" s="4"/>
      <c r="D191" s="4"/>
      <c r="E191" s="4"/>
      <c r="F191" s="3"/>
      <c r="G191" s="3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4"/>
      <c r="C192" s="4"/>
      <c r="D192" s="4"/>
      <c r="E192" s="4"/>
      <c r="F192" s="3"/>
      <c r="G192" s="3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4"/>
      <c r="C193" s="4"/>
      <c r="D193" s="4"/>
      <c r="E193" s="4"/>
      <c r="F193" s="3"/>
      <c r="G193" s="3"/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4"/>
      <c r="C194" s="4"/>
      <c r="D194" s="4"/>
      <c r="E194" s="4"/>
      <c r="F194" s="3"/>
      <c r="G194" s="3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4"/>
      <c r="C195" s="4"/>
      <c r="D195" s="4"/>
      <c r="E195" s="4"/>
      <c r="F195" s="3"/>
      <c r="G195" s="3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4"/>
      <c r="C196" s="4"/>
      <c r="D196" s="4"/>
      <c r="E196" s="4"/>
      <c r="F196" s="3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4"/>
      <c r="C197" s="4"/>
      <c r="D197" s="4"/>
      <c r="E197" s="4"/>
      <c r="F197" s="3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4"/>
      <c r="C198" s="4"/>
      <c r="D198" s="4"/>
      <c r="E198" s="4"/>
      <c r="F198" s="3"/>
      <c r="G198" s="3"/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4"/>
      <c r="C199" s="4"/>
      <c r="D199" s="4"/>
      <c r="E199" s="4"/>
      <c r="F199" s="3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4"/>
      <c r="C200" s="4"/>
      <c r="D200" s="4"/>
      <c r="E200" s="4"/>
      <c r="F200" s="3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4"/>
      <c r="C201" s="4"/>
      <c r="D201" s="4"/>
      <c r="E201" s="4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4"/>
      <c r="C202" s="4"/>
      <c r="D202" s="4"/>
      <c r="E202" s="4"/>
      <c r="F202" s="3"/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4"/>
      <c r="C203" s="4"/>
      <c r="D203" s="4"/>
      <c r="E203" s="4"/>
      <c r="F203" s="3"/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4"/>
      <c r="C204" s="4"/>
      <c r="D204" s="4"/>
      <c r="E204" s="4"/>
      <c r="F204" s="3"/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4"/>
      <c r="C205" s="4"/>
      <c r="D205" s="4"/>
      <c r="E205" s="4"/>
      <c r="F205" s="3"/>
      <c r="G205" s="3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4"/>
      <c r="C206" s="4"/>
      <c r="D206" s="4"/>
      <c r="E206" s="4"/>
      <c r="F206" s="3"/>
      <c r="G206" s="3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4"/>
      <c r="C207" s="4"/>
      <c r="D207" s="4"/>
      <c r="E207" s="4"/>
      <c r="F207" s="3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4"/>
      <c r="C208" s="4"/>
      <c r="D208" s="4"/>
      <c r="E208" s="4"/>
      <c r="F208" s="3"/>
      <c r="G208" s="3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4"/>
      <c r="C209" s="4"/>
      <c r="D209" s="4"/>
      <c r="E209" s="4"/>
      <c r="F209" s="3"/>
      <c r="G209" s="3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4"/>
      <c r="C210" s="4"/>
      <c r="D210" s="4"/>
      <c r="E210" s="4"/>
      <c r="F210" s="3"/>
      <c r="G210" s="3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4"/>
      <c r="C211" s="4"/>
      <c r="D211" s="4"/>
      <c r="E211" s="4"/>
      <c r="F211" s="3"/>
      <c r="G211" s="3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4"/>
      <c r="C212" s="4"/>
      <c r="D212" s="4"/>
      <c r="E212" s="4"/>
      <c r="F212" s="3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4"/>
      <c r="C213" s="4"/>
      <c r="D213" s="4"/>
      <c r="E213" s="4"/>
      <c r="F213" s="3"/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4"/>
      <c r="C214" s="4"/>
      <c r="D214" s="4"/>
      <c r="E214" s="4"/>
      <c r="F214" s="3"/>
      <c r="G214" s="3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4"/>
      <c r="C215" s="4"/>
      <c r="D215" s="4"/>
      <c r="E215" s="4"/>
      <c r="F215" s="3"/>
      <c r="G215" s="3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4"/>
      <c r="C216" s="4"/>
      <c r="D216" s="4"/>
      <c r="E216" s="4"/>
      <c r="F216" s="3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4"/>
      <c r="C217" s="4"/>
      <c r="D217" s="4"/>
      <c r="E217" s="4"/>
      <c r="F217" s="3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4"/>
      <c r="C218" s="4"/>
      <c r="D218" s="4"/>
      <c r="E218" s="4"/>
      <c r="F218" s="3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4"/>
      <c r="C219" s="4"/>
      <c r="D219" s="4"/>
      <c r="E219" s="4"/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4"/>
      <c r="C220" s="4"/>
      <c r="D220" s="4"/>
      <c r="E220" s="4"/>
      <c r="F220" s="3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D2:E2"/>
    <mergeCell ref="F2:G3"/>
    <mergeCell ref="H2:H3"/>
    <mergeCell ref="D3:E3"/>
    <mergeCell ref="D4:E4"/>
    <mergeCell ref="D5:E5"/>
    <mergeCell ref="D6:E6"/>
    <mergeCell ref="H9:H10"/>
    <mergeCell ref="I9:L9"/>
    <mergeCell ref="M9:N9"/>
    <mergeCell ref="O9:P9"/>
    <mergeCell ref="Q9:Q10"/>
    <mergeCell ref="R9:R10"/>
    <mergeCell ref="S9:S10"/>
    <mergeCell ref="D7:E7"/>
    <mergeCell ref="B9:B10"/>
    <mergeCell ref="C9:C10"/>
    <mergeCell ref="D9:D10"/>
    <mergeCell ref="E9:E10"/>
    <mergeCell ref="F9:F10"/>
    <mergeCell ref="G9:G10"/>
  </mergeCells>
  <conditionalFormatting sqref="I145:P1000">
    <cfRule type="cellIs" dxfId="0" priority="1" stopIfTrue="1" operator="equal">
      <formula>"Fail"</formula>
    </cfRule>
  </conditionalFormatting>
  <conditionalFormatting sqref="I145:P1000">
    <cfRule type="cellIs" dxfId="1" priority="2" stopIfTrue="1" operator="equal">
      <formula>"Pass"</formula>
    </cfRule>
  </conditionalFormatting>
  <conditionalFormatting sqref="I145:P1000">
    <cfRule type="cellIs" dxfId="2" priority="3" stopIfTrue="1" operator="equal">
      <formula>"N/A"</formula>
    </cfRule>
  </conditionalFormatting>
  <conditionalFormatting sqref="I145:P1000">
    <cfRule type="cellIs" dxfId="3" priority="4" stopIfTrue="1" operator="equal">
      <formula>"N/T"</formula>
    </cfRule>
  </conditionalFormatting>
  <conditionalFormatting sqref="R140:R1000">
    <cfRule type="cellIs" dxfId="4" priority="5" stopIfTrue="1" operator="equal">
      <formula>"Trivial"</formula>
    </cfRule>
  </conditionalFormatting>
  <conditionalFormatting sqref="R140:R1000">
    <cfRule type="cellIs" dxfId="5" priority="6" stopIfTrue="1" operator="equal">
      <formula>"Minor"</formula>
    </cfRule>
  </conditionalFormatting>
  <conditionalFormatting sqref="R140:R1000">
    <cfRule type="cellIs" dxfId="6" priority="7" stopIfTrue="1" operator="equal">
      <formula>"Major"</formula>
    </cfRule>
  </conditionalFormatting>
  <conditionalFormatting sqref="R140:R1000">
    <cfRule type="cellIs" dxfId="7" priority="8" stopIfTrue="1" operator="equal">
      <formula>"Critical"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8.57"/>
    <col customWidth="1" min="3" max="3" width="12.43"/>
    <col customWidth="1" min="4" max="4" width="4.86"/>
    <col customWidth="1" min="5" max="5" width="15.29"/>
    <col customWidth="1" min="6" max="13" width="4.86"/>
    <col customWidth="1" min="14" max="14" width="6.86"/>
    <col customWidth="1" min="15" max="15" width="6.57"/>
    <col customWidth="1" min="16" max="16" width="9.14"/>
    <col customWidth="1" min="17" max="17" width="7.71"/>
    <col customWidth="1" min="18" max="24" width="6.57"/>
    <col customWidth="1" min="25" max="31" width="11.0"/>
  </cols>
  <sheetData>
    <row r="1" ht="4.5" customHeight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2"/>
      <c r="Z1" s="2"/>
      <c r="AA1" s="2"/>
      <c r="AB1" s="2"/>
      <c r="AC1" s="2"/>
      <c r="AD1" s="2"/>
      <c r="AE1" s="2"/>
    </row>
    <row r="2" ht="30.75" customHeight="1">
      <c r="A2" s="132"/>
      <c r="B2" s="137" t="s">
        <v>100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2"/>
      <c r="Z2" s="2"/>
      <c r="AA2" s="2"/>
      <c r="AB2" s="2"/>
      <c r="AC2" s="2"/>
      <c r="AD2" s="2"/>
      <c r="AE2" s="2"/>
    </row>
    <row r="3" ht="16.5" customHeight="1">
      <c r="A3" s="132"/>
      <c r="B3" s="138" t="s">
        <v>103</v>
      </c>
      <c r="C3" s="32"/>
      <c r="D3" s="138" t="s">
        <v>104</v>
      </c>
      <c r="E3" s="32"/>
      <c r="F3" s="138" t="s">
        <v>26</v>
      </c>
      <c r="G3" s="32"/>
      <c r="H3" s="138" t="s">
        <v>35</v>
      </c>
      <c r="I3" s="32"/>
      <c r="J3" s="138" t="s">
        <v>39</v>
      </c>
      <c r="K3" s="32"/>
      <c r="L3" s="138" t="s">
        <v>53</v>
      </c>
      <c r="M3" s="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2"/>
      <c r="AE3" s="2"/>
    </row>
    <row r="4" ht="12.0" customHeight="1">
      <c r="A4" s="132"/>
      <c r="B4" s="139">
        <f>SUM('_TC'!C3)</f>
        <v>0</v>
      </c>
      <c r="C4" s="32"/>
      <c r="D4" s="140">
        <f>IFERROR((F4/B4),0)</f>
        <v>0</v>
      </c>
      <c r="E4" s="32"/>
      <c r="F4" s="139">
        <f>SUM('_TC'!C4)</f>
        <v>0</v>
      </c>
      <c r="G4" s="32"/>
      <c r="H4" s="139">
        <f>SUM('_TC'!C5)</f>
        <v>0</v>
      </c>
      <c r="I4" s="32"/>
      <c r="J4" s="139">
        <f>SUM('_TC'!C6)</f>
        <v>0</v>
      </c>
      <c r="K4" s="32"/>
      <c r="L4" s="139">
        <f>SUM('_TC'!C7)</f>
        <v>0</v>
      </c>
      <c r="M4" s="32"/>
      <c r="N4" s="132"/>
      <c r="O4" s="132"/>
      <c r="P4" s="132"/>
      <c r="Q4" s="143"/>
      <c r="R4" s="2"/>
      <c r="S4" s="2"/>
      <c r="T4" s="2"/>
      <c r="U4" s="2"/>
      <c r="V4" s="2"/>
      <c r="W4" s="2"/>
      <c r="X4" s="2"/>
      <c r="Y4" s="2"/>
      <c r="Z4" s="2"/>
      <c r="AA4" s="132"/>
      <c r="AB4" s="132"/>
      <c r="AC4" s="132"/>
      <c r="AD4" s="2"/>
      <c r="AE4" s="2"/>
    </row>
    <row r="5" ht="16.5" customHeight="1">
      <c r="A5" s="132"/>
      <c r="B5" s="138" t="s">
        <v>118</v>
      </c>
      <c r="C5" s="29"/>
      <c r="D5" s="29"/>
      <c r="E5" s="32"/>
      <c r="F5" s="138" t="s">
        <v>119</v>
      </c>
      <c r="G5" s="29"/>
      <c r="H5" s="29"/>
      <c r="I5" s="29"/>
      <c r="J5" s="29"/>
      <c r="K5" s="29"/>
      <c r="L5" s="29"/>
      <c r="M5" s="32"/>
      <c r="N5" s="132"/>
      <c r="O5" s="132"/>
      <c r="P5" s="132"/>
      <c r="Q5" s="143"/>
      <c r="R5" s="2"/>
      <c r="S5" s="2"/>
      <c r="T5" s="2"/>
      <c r="U5" s="2"/>
      <c r="V5" s="2"/>
      <c r="W5" s="2"/>
      <c r="X5" s="2"/>
      <c r="Y5" s="2"/>
      <c r="Z5" s="2"/>
      <c r="AA5" s="132"/>
      <c r="AB5" s="132"/>
      <c r="AC5" s="132"/>
      <c r="AD5" s="2"/>
      <c r="AE5" s="2"/>
    </row>
    <row r="6" ht="12.0" customHeight="1">
      <c r="A6" s="132"/>
      <c r="B6" s="144"/>
      <c r="C6" s="134"/>
      <c r="D6" s="134"/>
      <c r="E6" s="52"/>
      <c r="F6" s="144"/>
      <c r="G6" s="134"/>
      <c r="H6" s="134"/>
      <c r="I6" s="134"/>
      <c r="J6" s="134"/>
      <c r="K6" s="134"/>
      <c r="L6" s="134"/>
      <c r="M6" s="52"/>
      <c r="N6" s="132"/>
      <c r="O6" s="132"/>
      <c r="P6" s="132"/>
      <c r="Q6" s="143"/>
      <c r="R6" s="2"/>
      <c r="S6" s="2"/>
      <c r="T6" s="2"/>
      <c r="U6" s="2"/>
      <c r="V6" s="2"/>
      <c r="W6" s="2"/>
      <c r="X6" s="2"/>
      <c r="Y6" s="2"/>
      <c r="Z6" s="2"/>
      <c r="AA6" s="132"/>
      <c r="AB6" s="132"/>
      <c r="AC6" s="148"/>
      <c r="AD6" s="2"/>
      <c r="AE6" s="2"/>
    </row>
    <row r="7" ht="12.0" customHeight="1">
      <c r="A7" s="132"/>
      <c r="B7" s="149"/>
      <c r="E7" s="79"/>
      <c r="F7" s="149"/>
      <c r="M7" s="79"/>
      <c r="N7" s="132"/>
      <c r="O7" s="132"/>
      <c r="P7" s="132"/>
      <c r="Q7" s="150"/>
      <c r="R7" s="2"/>
      <c r="S7" s="2"/>
      <c r="T7" s="2"/>
      <c r="U7" s="2"/>
      <c r="V7" s="2"/>
      <c r="W7" s="2"/>
      <c r="X7" s="2"/>
      <c r="Y7" s="2"/>
      <c r="Z7" s="2"/>
      <c r="AA7" s="132"/>
      <c r="AB7" s="132"/>
      <c r="AC7" s="132"/>
      <c r="AD7" s="2"/>
      <c r="AE7" s="2"/>
    </row>
    <row r="8" ht="12.0" customHeight="1">
      <c r="A8" s="132"/>
      <c r="B8" s="149"/>
      <c r="E8" s="79"/>
      <c r="F8" s="149"/>
      <c r="M8" s="79"/>
      <c r="N8" s="132"/>
      <c r="O8" s="132"/>
      <c r="P8" s="132"/>
      <c r="Q8" s="150"/>
      <c r="R8" s="2"/>
      <c r="S8" s="2"/>
      <c r="T8" s="2"/>
      <c r="U8" s="2"/>
      <c r="V8" s="2"/>
      <c r="W8" s="2"/>
      <c r="X8" s="2"/>
      <c r="Y8" s="2"/>
      <c r="Z8" s="2"/>
      <c r="AA8" s="132"/>
      <c r="AB8" s="132"/>
      <c r="AC8" s="132"/>
      <c r="AD8" s="2"/>
      <c r="AE8" s="2"/>
    </row>
    <row r="9" ht="12.0" customHeight="1">
      <c r="A9" s="132"/>
      <c r="B9" s="149"/>
      <c r="E9" s="79"/>
      <c r="F9" s="149"/>
      <c r="M9" s="79"/>
      <c r="N9" s="132"/>
      <c r="O9" s="132"/>
      <c r="P9" s="132"/>
      <c r="Q9" s="132"/>
      <c r="R9" s="2"/>
      <c r="S9" s="2"/>
      <c r="T9" s="2"/>
      <c r="U9" s="2"/>
      <c r="V9" s="2"/>
      <c r="W9" s="2"/>
      <c r="X9" s="2"/>
      <c r="Y9" s="2"/>
      <c r="Z9" s="2"/>
      <c r="AA9" s="132"/>
      <c r="AB9" s="132"/>
      <c r="AC9" s="132"/>
      <c r="AD9" s="2"/>
      <c r="AE9" s="2"/>
    </row>
    <row r="10" ht="12.0" customHeight="1">
      <c r="A10" s="132"/>
      <c r="B10" s="149"/>
      <c r="E10" s="79"/>
      <c r="F10" s="149"/>
      <c r="M10" s="79"/>
      <c r="N10" s="132"/>
      <c r="O10" s="132"/>
      <c r="P10" s="132"/>
      <c r="Q10" s="132"/>
      <c r="R10" s="2"/>
      <c r="S10" s="2"/>
      <c r="T10" s="2"/>
      <c r="U10" s="2"/>
      <c r="V10" s="2"/>
      <c r="W10" s="2"/>
      <c r="X10" s="2"/>
      <c r="Y10" s="2"/>
      <c r="Z10" s="2"/>
      <c r="AA10" s="132"/>
      <c r="AB10" s="132"/>
      <c r="AC10" s="132"/>
      <c r="AD10" s="2"/>
      <c r="AE10" s="2"/>
    </row>
    <row r="11" ht="12.0" customHeight="1">
      <c r="A11" s="132"/>
      <c r="B11" s="149"/>
      <c r="E11" s="79"/>
      <c r="F11" s="149"/>
      <c r="M11" s="79"/>
      <c r="N11" s="132"/>
      <c r="O11" s="132"/>
      <c r="P11" s="132"/>
      <c r="Q11" s="132"/>
      <c r="R11" s="152"/>
      <c r="S11" s="152"/>
      <c r="T11" s="152"/>
      <c r="U11" s="15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0" customHeight="1">
      <c r="A12" s="132"/>
      <c r="B12" s="149"/>
      <c r="E12" s="79"/>
      <c r="F12" s="149"/>
      <c r="M12" s="79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2"/>
      <c r="AE12" s="2"/>
    </row>
    <row r="13" ht="12.0" customHeight="1">
      <c r="A13" s="132"/>
      <c r="B13" s="149"/>
      <c r="E13" s="79"/>
      <c r="F13" s="149"/>
      <c r="M13" s="79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2"/>
      <c r="Z13" s="2"/>
      <c r="AA13" s="2"/>
      <c r="AB13" s="2"/>
      <c r="AC13" s="2"/>
      <c r="AD13" s="2"/>
      <c r="AE13" s="2"/>
    </row>
    <row r="14" ht="12.0" customHeight="1">
      <c r="A14" s="132"/>
      <c r="B14" s="149"/>
      <c r="E14" s="79"/>
      <c r="F14" s="149"/>
      <c r="M14" s="79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2"/>
      <c r="Z14" s="2"/>
      <c r="AA14" s="2"/>
      <c r="AB14" s="2"/>
      <c r="AC14" s="2"/>
      <c r="AD14" s="2"/>
      <c r="AE14" s="2"/>
    </row>
    <row r="15" ht="12.0" customHeight="1">
      <c r="A15" s="132"/>
      <c r="B15" s="149"/>
      <c r="E15" s="79"/>
      <c r="F15" s="149"/>
      <c r="M15" s="79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2"/>
      <c r="Z15" s="2"/>
      <c r="AA15" s="2"/>
      <c r="AB15" s="2"/>
      <c r="AC15" s="2"/>
      <c r="AD15" s="2"/>
      <c r="AE15" s="2"/>
    </row>
    <row r="16" ht="12.0" customHeight="1">
      <c r="A16" s="132"/>
      <c r="B16" s="149"/>
      <c r="E16" s="79"/>
      <c r="F16" s="149"/>
      <c r="M16" s="79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2"/>
      <c r="Z16" s="2"/>
      <c r="AA16" s="2"/>
      <c r="AB16" s="2"/>
      <c r="AC16" s="2"/>
      <c r="AD16" s="2"/>
      <c r="AE16" s="2"/>
    </row>
    <row r="17" ht="12.0" customHeight="1">
      <c r="A17" s="132"/>
      <c r="B17" s="149"/>
      <c r="E17" s="79"/>
      <c r="F17" s="149"/>
      <c r="M17" s="79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2"/>
      <c r="Z17" s="2"/>
      <c r="AA17" s="2"/>
      <c r="AB17" s="2"/>
      <c r="AC17" s="2"/>
      <c r="AD17" s="2"/>
      <c r="AE17" s="2"/>
    </row>
    <row r="18" ht="12.0" customHeight="1">
      <c r="A18" s="132"/>
      <c r="B18" s="149"/>
      <c r="E18" s="79"/>
      <c r="F18" s="149"/>
      <c r="M18" s="79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2"/>
      <c r="Z18" s="2"/>
      <c r="AA18" s="2"/>
      <c r="AB18" s="2"/>
      <c r="AC18" s="2"/>
      <c r="AD18" s="2"/>
      <c r="AE18" s="2"/>
    </row>
    <row r="19" ht="12.0" customHeight="1">
      <c r="A19" s="132"/>
      <c r="B19" s="149"/>
      <c r="E19" s="79"/>
      <c r="F19" s="149"/>
      <c r="M19" s="79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2"/>
      <c r="Z19" s="2"/>
      <c r="AA19" s="2"/>
      <c r="AB19" s="2"/>
      <c r="AC19" s="2"/>
      <c r="AD19" s="2"/>
      <c r="AE19" s="2"/>
    </row>
    <row r="20" ht="12.0" customHeight="1">
      <c r="A20" s="132"/>
      <c r="B20" s="149"/>
      <c r="E20" s="79"/>
      <c r="F20" s="149"/>
      <c r="M20" s="79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2"/>
      <c r="Z20" s="2"/>
      <c r="AA20" s="2"/>
      <c r="AB20" s="2"/>
      <c r="AC20" s="2"/>
      <c r="AD20" s="2"/>
      <c r="AE20" s="2"/>
    </row>
    <row r="21" ht="12.0" customHeight="1">
      <c r="A21" s="132"/>
      <c r="B21" s="149"/>
      <c r="E21" s="79"/>
      <c r="F21" s="149"/>
      <c r="M21" s="79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2"/>
      <c r="Z21" s="2"/>
      <c r="AA21" s="2"/>
      <c r="AB21" s="2"/>
      <c r="AC21" s="2"/>
      <c r="AD21" s="2"/>
      <c r="AE21" s="2"/>
    </row>
    <row r="22" ht="12.0" customHeight="1">
      <c r="A22" s="132"/>
      <c r="B22" s="149"/>
      <c r="E22" s="79"/>
      <c r="F22" s="149"/>
      <c r="M22" s="79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2"/>
      <c r="Z22" s="2"/>
      <c r="AA22" s="2"/>
      <c r="AB22" s="2"/>
      <c r="AC22" s="2"/>
      <c r="AD22" s="2"/>
      <c r="AE22" s="2"/>
    </row>
    <row r="23" ht="12.0" customHeight="1">
      <c r="A23" s="132"/>
      <c r="B23" s="161"/>
      <c r="C23" s="156"/>
      <c r="D23" s="156"/>
      <c r="E23" s="67"/>
      <c r="F23" s="161"/>
      <c r="G23" s="156"/>
      <c r="H23" s="156"/>
      <c r="I23" s="156"/>
      <c r="J23" s="156"/>
      <c r="K23" s="156"/>
      <c r="L23" s="156"/>
      <c r="M23" s="67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2"/>
      <c r="Z23" s="2"/>
      <c r="AA23" s="2"/>
      <c r="AB23" s="2"/>
      <c r="AC23" s="2"/>
      <c r="AD23" s="2"/>
      <c r="AE23" s="2"/>
    </row>
    <row r="24" ht="16.5" customHeight="1">
      <c r="A24" s="132"/>
      <c r="B24" s="138" t="s">
        <v>129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2"/>
      <c r="Z24" s="2"/>
      <c r="AA24" s="2"/>
      <c r="AB24" s="2"/>
      <c r="AC24" s="2"/>
      <c r="AD24" s="2"/>
      <c r="AE24" s="2"/>
    </row>
    <row r="25" ht="11.25" customHeight="1">
      <c r="A25" s="132"/>
      <c r="B25" s="14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5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2"/>
      <c r="Z25" s="2"/>
      <c r="AA25" s="2"/>
      <c r="AB25" s="2"/>
      <c r="AC25" s="2"/>
      <c r="AD25" s="2"/>
      <c r="AE25" s="2"/>
    </row>
    <row r="26" ht="11.25" customHeight="1">
      <c r="A26" s="132"/>
      <c r="B26" s="149"/>
      <c r="M26" s="79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2"/>
      <c r="Z26" s="2"/>
      <c r="AA26" s="2"/>
      <c r="AB26" s="2"/>
      <c r="AC26" s="2"/>
      <c r="AD26" s="2"/>
      <c r="AE26" s="2"/>
    </row>
    <row r="27" ht="11.25" customHeight="1">
      <c r="A27" s="132"/>
      <c r="B27" s="149"/>
      <c r="M27" s="79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2"/>
      <c r="Z27" s="2"/>
      <c r="AA27" s="2"/>
      <c r="AB27" s="2"/>
      <c r="AC27" s="2"/>
      <c r="AD27" s="2"/>
      <c r="AE27" s="2"/>
    </row>
    <row r="28" ht="11.25" customHeight="1">
      <c r="A28" s="132"/>
      <c r="B28" s="149"/>
      <c r="M28" s="79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2"/>
      <c r="Z28" s="2"/>
      <c r="AA28" s="2"/>
      <c r="AB28" s="2"/>
      <c r="AC28" s="2"/>
      <c r="AD28" s="2"/>
      <c r="AE28" s="2"/>
    </row>
    <row r="29" ht="11.25" customHeight="1">
      <c r="A29" s="132"/>
      <c r="B29" s="149"/>
      <c r="M29" s="79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2"/>
      <c r="Z29" s="2"/>
      <c r="AA29" s="2"/>
      <c r="AB29" s="2"/>
      <c r="AC29" s="2"/>
      <c r="AD29" s="2"/>
      <c r="AE29" s="2"/>
    </row>
    <row r="30" ht="11.25" customHeight="1">
      <c r="A30" s="132"/>
      <c r="B30" s="149"/>
      <c r="M30" s="79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2"/>
      <c r="Z30" s="2"/>
      <c r="AA30" s="2"/>
      <c r="AB30" s="2"/>
      <c r="AC30" s="2"/>
      <c r="AD30" s="2"/>
      <c r="AE30" s="2"/>
    </row>
    <row r="31" ht="11.25" customHeight="1">
      <c r="A31" s="132"/>
      <c r="B31" s="149"/>
      <c r="M31" s="79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2"/>
      <c r="Z31" s="2"/>
      <c r="AA31" s="2"/>
      <c r="AB31" s="2"/>
      <c r="AC31" s="2"/>
      <c r="AD31" s="2"/>
      <c r="AE31" s="2"/>
    </row>
    <row r="32" ht="11.25" customHeight="1">
      <c r="A32" s="132"/>
      <c r="B32" s="149"/>
      <c r="M32" s="79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2"/>
      <c r="Z32" s="2"/>
      <c r="AA32" s="2"/>
      <c r="AB32" s="2"/>
      <c r="AC32" s="2"/>
      <c r="AD32" s="2"/>
      <c r="AE32" s="2"/>
    </row>
    <row r="33" ht="11.25" customHeight="1">
      <c r="A33" s="132"/>
      <c r="B33" s="149"/>
      <c r="M33" s="79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2"/>
      <c r="Z33" s="2"/>
      <c r="AA33" s="2"/>
      <c r="AB33" s="2"/>
      <c r="AC33" s="2"/>
      <c r="AD33" s="2"/>
      <c r="AE33" s="2"/>
    </row>
    <row r="34" ht="11.25" customHeight="1">
      <c r="A34" s="132"/>
      <c r="B34" s="149"/>
      <c r="M34" s="79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2"/>
      <c r="Z34" s="2"/>
      <c r="AA34" s="2"/>
      <c r="AB34" s="2"/>
      <c r="AC34" s="2"/>
      <c r="AD34" s="2"/>
      <c r="AE34" s="2"/>
    </row>
    <row r="35" ht="11.25" customHeight="1">
      <c r="A35" s="132"/>
      <c r="B35" s="149"/>
      <c r="M35" s="79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2"/>
      <c r="Z35" s="2"/>
      <c r="AA35" s="2"/>
      <c r="AB35" s="2"/>
      <c r="AC35" s="2"/>
      <c r="AD35" s="2"/>
      <c r="AE35" s="2"/>
    </row>
    <row r="36" ht="11.25" customHeight="1">
      <c r="A36" s="132"/>
      <c r="B36" s="149"/>
      <c r="M36" s="79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2"/>
      <c r="Z36" s="2"/>
      <c r="AA36" s="2"/>
      <c r="AB36" s="2"/>
      <c r="AC36" s="2"/>
      <c r="AD36" s="2"/>
      <c r="AE36" s="2"/>
    </row>
    <row r="37" ht="11.25" customHeight="1">
      <c r="A37" s="132"/>
      <c r="B37" s="149"/>
      <c r="M37" s="79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2"/>
      <c r="Z37" s="2"/>
      <c r="AA37" s="2"/>
      <c r="AB37" s="2"/>
      <c r="AC37" s="2"/>
      <c r="AD37" s="2"/>
      <c r="AE37" s="2"/>
    </row>
    <row r="38" ht="11.25" customHeight="1">
      <c r="A38" s="132"/>
      <c r="B38" s="149"/>
      <c r="M38" s="79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2"/>
      <c r="Z38" s="2"/>
      <c r="AA38" s="2"/>
      <c r="AB38" s="2"/>
      <c r="AC38" s="2"/>
      <c r="AD38" s="2"/>
      <c r="AE38" s="2"/>
    </row>
    <row r="39" ht="11.25" customHeight="1">
      <c r="A39" s="132"/>
      <c r="B39" s="149"/>
      <c r="M39" s="79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2"/>
      <c r="Z39" s="2"/>
      <c r="AA39" s="2"/>
      <c r="AB39" s="2"/>
      <c r="AC39" s="2"/>
      <c r="AD39" s="2"/>
      <c r="AE39" s="2"/>
    </row>
    <row r="40" ht="11.25" customHeight="1">
      <c r="A40" s="132"/>
      <c r="B40" s="149"/>
      <c r="M40" s="79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2"/>
      <c r="Z40" s="2"/>
      <c r="AA40" s="2"/>
      <c r="AB40" s="2"/>
      <c r="AC40" s="2"/>
      <c r="AD40" s="2"/>
      <c r="AE40" s="2"/>
    </row>
    <row r="41" ht="11.25" customHeight="1">
      <c r="A41" s="132"/>
      <c r="B41" s="149"/>
      <c r="M41" s="79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2"/>
      <c r="Z41" s="2"/>
      <c r="AA41" s="2"/>
      <c r="AB41" s="2"/>
      <c r="AC41" s="2"/>
      <c r="AD41" s="2"/>
      <c r="AE41" s="2"/>
    </row>
    <row r="42" ht="11.25" customHeight="1">
      <c r="A42" s="132"/>
      <c r="B42" s="149"/>
      <c r="M42" s="79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2"/>
      <c r="Z42" s="2"/>
      <c r="AA42" s="2"/>
      <c r="AB42" s="2"/>
      <c r="AC42" s="2"/>
      <c r="AD42" s="2"/>
      <c r="AE42" s="2"/>
    </row>
    <row r="43" ht="12.0" customHeight="1">
      <c r="A43" s="132"/>
      <c r="B43" s="149"/>
      <c r="M43" s="79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2"/>
      <c r="Z43" s="2"/>
      <c r="AA43" s="2"/>
      <c r="AB43" s="2"/>
      <c r="AC43" s="2"/>
      <c r="AD43" s="2"/>
      <c r="AE43" s="2"/>
    </row>
    <row r="44" ht="12.0" customHeight="1">
      <c r="A44" s="132"/>
      <c r="B44" s="149"/>
      <c r="M44" s="79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2"/>
      <c r="Z44" s="2"/>
      <c r="AA44" s="2"/>
      <c r="AB44" s="2"/>
      <c r="AC44" s="2"/>
      <c r="AD44" s="2"/>
      <c r="AE44" s="2"/>
    </row>
    <row r="45" ht="12.0" customHeight="1">
      <c r="A45" s="132"/>
      <c r="B45" s="149"/>
      <c r="M45" s="79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2"/>
      <c r="Z45" s="2"/>
      <c r="AA45" s="2"/>
      <c r="AB45" s="2"/>
      <c r="AC45" s="2"/>
      <c r="AD45" s="2"/>
      <c r="AE45" s="2"/>
    </row>
    <row r="46" ht="12.0" customHeight="1">
      <c r="A46" s="132"/>
      <c r="B46" s="161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67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2"/>
      <c r="Z46" s="2"/>
      <c r="AA46" s="2"/>
      <c r="AB46" s="2"/>
      <c r="AC46" s="2"/>
      <c r="AD46" s="2"/>
      <c r="AE46" s="2"/>
    </row>
    <row r="47" ht="16.5" customHeight="1">
      <c r="A47" s="132"/>
      <c r="B47" s="138" t="s">
        <v>81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132"/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0" customHeight="1">
      <c r="A48" s="132"/>
      <c r="B48" s="13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132"/>
      <c r="O48" s="132"/>
      <c r="P48" s="13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0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0" customHeight="1">
      <c r="A50" s="132"/>
      <c r="B50" s="13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3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4.25" customHeight="1">
      <c r="A51" s="132"/>
      <c r="B51" s="14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3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0" customHeight="1">
      <c r="A52" s="132"/>
      <c r="B52" s="14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3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0" customHeight="1">
      <c r="A53" s="132"/>
      <c r="B53" s="14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3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0" customHeight="1">
      <c r="A54" s="132"/>
      <c r="B54" s="15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0" customHeight="1">
      <c r="A55" s="132"/>
      <c r="B55" s="15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3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0" customHeight="1">
      <c r="A56" s="132"/>
      <c r="B56" s="13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3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0" customHeight="1">
      <c r="A57" s="132"/>
      <c r="B57" s="13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3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0" customHeight="1">
      <c r="A58" s="132"/>
      <c r="B58" s="13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3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0" customHeight="1">
      <c r="A59" s="132"/>
      <c r="B59" s="13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2"/>
      <c r="Z59" s="2"/>
      <c r="AA59" s="2"/>
      <c r="AB59" s="2"/>
      <c r="AC59" s="2"/>
      <c r="AD59" s="2"/>
      <c r="AE59" s="2"/>
    </row>
    <row r="60" ht="12.0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2"/>
      <c r="Z60" s="2"/>
      <c r="AA60" s="2"/>
      <c r="AB60" s="2"/>
      <c r="AC60" s="2"/>
      <c r="AD60" s="2"/>
      <c r="AE60" s="2"/>
    </row>
    <row r="61" ht="12.0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2"/>
      <c r="Z61" s="2"/>
      <c r="AA61" s="2"/>
      <c r="AB61" s="2"/>
      <c r="AC61" s="2"/>
      <c r="AD61" s="2"/>
      <c r="AE61" s="2"/>
    </row>
    <row r="62" ht="12.0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2"/>
      <c r="Z62" s="2"/>
      <c r="AA62" s="2"/>
      <c r="AB62" s="2"/>
      <c r="AC62" s="2"/>
      <c r="AD62" s="2"/>
      <c r="AE62" s="2"/>
    </row>
    <row r="63" ht="12.0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2"/>
      <c r="Z63" s="2"/>
      <c r="AA63" s="2"/>
      <c r="AB63" s="2"/>
      <c r="AC63" s="2"/>
      <c r="AD63" s="2"/>
      <c r="AE63" s="2"/>
    </row>
    <row r="64" ht="12.0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2"/>
      <c r="Z64" s="2"/>
      <c r="AA64" s="2"/>
      <c r="AB64" s="2"/>
      <c r="AC64" s="2"/>
      <c r="AD64" s="2"/>
      <c r="AE64" s="2"/>
    </row>
    <row r="65" ht="12.0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2"/>
      <c r="Z65" s="2"/>
      <c r="AA65" s="2"/>
      <c r="AB65" s="2"/>
      <c r="AC65" s="2"/>
      <c r="AD65" s="2"/>
      <c r="AE65" s="2"/>
    </row>
    <row r="66" ht="12.0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2"/>
      <c r="Z66" s="2"/>
      <c r="AA66" s="2"/>
      <c r="AB66" s="2"/>
      <c r="AC66" s="2"/>
      <c r="AD66" s="2"/>
      <c r="AE66" s="2"/>
    </row>
    <row r="67" ht="12.0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2"/>
      <c r="Z67" s="2"/>
      <c r="AA67" s="2"/>
      <c r="AB67" s="2"/>
      <c r="AC67" s="2"/>
      <c r="AD67" s="2"/>
      <c r="AE67" s="2"/>
    </row>
    <row r="68" ht="12.0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2"/>
      <c r="Z68" s="2"/>
      <c r="AA68" s="2"/>
      <c r="AB68" s="2"/>
      <c r="AC68" s="2"/>
      <c r="AD68" s="2"/>
      <c r="AE68" s="2"/>
    </row>
    <row r="69" ht="12.0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2"/>
      <c r="Z69" s="2"/>
      <c r="AA69" s="2"/>
      <c r="AB69" s="2"/>
      <c r="AC69" s="2"/>
      <c r="AD69" s="2"/>
      <c r="AE69" s="2"/>
    </row>
    <row r="70" ht="12.0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2"/>
      <c r="Z70" s="2"/>
      <c r="AA70" s="2"/>
      <c r="AB70" s="2"/>
      <c r="AC70" s="2"/>
      <c r="AD70" s="2"/>
      <c r="AE70" s="2"/>
    </row>
    <row r="71" ht="12.0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2"/>
      <c r="Z71" s="2"/>
      <c r="AA71" s="2"/>
      <c r="AB71" s="2"/>
      <c r="AC71" s="2"/>
      <c r="AD71" s="2"/>
      <c r="AE71" s="2"/>
    </row>
    <row r="72" ht="12.0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2"/>
      <c r="Z72" s="2"/>
      <c r="AA72" s="2"/>
      <c r="AB72" s="2"/>
      <c r="AC72" s="2"/>
      <c r="AD72" s="2"/>
      <c r="AE72" s="2"/>
    </row>
    <row r="73" ht="12.0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2"/>
      <c r="Z73" s="2"/>
      <c r="AA73" s="2"/>
      <c r="AB73" s="2"/>
      <c r="AC73" s="2"/>
      <c r="AD73" s="2"/>
      <c r="AE73" s="2"/>
    </row>
    <row r="74" ht="12.0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2"/>
      <c r="Z74" s="2"/>
      <c r="AA74" s="2"/>
      <c r="AB74" s="2"/>
      <c r="AC74" s="2"/>
      <c r="AD74" s="2"/>
      <c r="AE74" s="2"/>
    </row>
    <row r="75" ht="12.0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2"/>
      <c r="Z75" s="2"/>
      <c r="AA75" s="2"/>
      <c r="AB75" s="2"/>
      <c r="AC75" s="2"/>
      <c r="AD75" s="2"/>
      <c r="AE75" s="2"/>
    </row>
    <row r="76" ht="12.0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2"/>
      <c r="Z76" s="2"/>
      <c r="AA76" s="2"/>
      <c r="AB76" s="2"/>
      <c r="AC76" s="2"/>
      <c r="AD76" s="2"/>
      <c r="AE76" s="2"/>
    </row>
    <row r="77" ht="12.0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2"/>
      <c r="Z77" s="2"/>
      <c r="AA77" s="2"/>
      <c r="AB77" s="2"/>
      <c r="AC77" s="2"/>
      <c r="AD77" s="2"/>
      <c r="AE77" s="2"/>
    </row>
    <row r="78" ht="12.0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2"/>
      <c r="Z78" s="2"/>
      <c r="AA78" s="2"/>
      <c r="AB78" s="2"/>
      <c r="AC78" s="2"/>
      <c r="AD78" s="2"/>
      <c r="AE78" s="2"/>
    </row>
    <row r="79" ht="12.0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2"/>
      <c r="Z79" s="2"/>
      <c r="AA79" s="2"/>
      <c r="AB79" s="2"/>
      <c r="AC79" s="2"/>
      <c r="AD79" s="2"/>
      <c r="AE79" s="2"/>
    </row>
    <row r="80" ht="12.0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2"/>
      <c r="Z80" s="2"/>
      <c r="AA80" s="2"/>
      <c r="AB80" s="2"/>
      <c r="AC80" s="2"/>
      <c r="AD80" s="2"/>
      <c r="AE80" s="2"/>
    </row>
    <row r="81" ht="12.0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2"/>
      <c r="Z81" s="2"/>
      <c r="AA81" s="2"/>
      <c r="AB81" s="2"/>
      <c r="AC81" s="2"/>
      <c r="AD81" s="2"/>
      <c r="AE81" s="2"/>
    </row>
    <row r="82" ht="12.0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2"/>
      <c r="Z82" s="2"/>
      <c r="AA82" s="2"/>
      <c r="AB82" s="2"/>
      <c r="AC82" s="2"/>
      <c r="AD82" s="2"/>
      <c r="AE82" s="2"/>
    </row>
    <row r="83" ht="12.0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2"/>
      <c r="Z83" s="2"/>
      <c r="AA83" s="2"/>
      <c r="AB83" s="2"/>
      <c r="AC83" s="2"/>
      <c r="AD83" s="2"/>
      <c r="AE83" s="2"/>
    </row>
    <row r="84" ht="12.0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2"/>
      <c r="Z84" s="2"/>
      <c r="AA84" s="2"/>
      <c r="AB84" s="2"/>
      <c r="AC84" s="2"/>
      <c r="AD84" s="2"/>
      <c r="AE84" s="2"/>
    </row>
    <row r="85" ht="12.0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2"/>
      <c r="Z85" s="2"/>
      <c r="AA85" s="2"/>
      <c r="AB85" s="2"/>
      <c r="AC85" s="2"/>
      <c r="AD85" s="2"/>
      <c r="AE85" s="2"/>
    </row>
    <row r="86" ht="12.0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2"/>
      <c r="Z86" s="2"/>
      <c r="AA86" s="2"/>
      <c r="AB86" s="2"/>
      <c r="AC86" s="2"/>
      <c r="AD86" s="2"/>
      <c r="AE86" s="2"/>
    </row>
    <row r="87" ht="12.0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2"/>
      <c r="Z87" s="2"/>
      <c r="AA87" s="2"/>
      <c r="AB87" s="2"/>
      <c r="AC87" s="2"/>
      <c r="AD87" s="2"/>
      <c r="AE87" s="2"/>
    </row>
    <row r="88" ht="12.0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2"/>
      <c r="Z88" s="2"/>
      <c r="AA88" s="2"/>
      <c r="AB88" s="2"/>
      <c r="AC88" s="2"/>
      <c r="AD88" s="2"/>
      <c r="AE88" s="2"/>
    </row>
    <row r="89" ht="12.0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2"/>
      <c r="Z89" s="2"/>
      <c r="AA89" s="2"/>
      <c r="AB89" s="2"/>
      <c r="AC89" s="2"/>
      <c r="AD89" s="2"/>
      <c r="AE89" s="2"/>
    </row>
    <row r="90" ht="12.0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2"/>
      <c r="Z90" s="2"/>
      <c r="AA90" s="2"/>
      <c r="AB90" s="2"/>
      <c r="AC90" s="2"/>
      <c r="AD90" s="2"/>
      <c r="AE90" s="2"/>
    </row>
    <row r="91" ht="12.0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2"/>
      <c r="Z91" s="2"/>
      <c r="AA91" s="2"/>
      <c r="AB91" s="2"/>
      <c r="AC91" s="2"/>
      <c r="AD91" s="2"/>
      <c r="AE91" s="2"/>
    </row>
    <row r="92" ht="12.0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2"/>
      <c r="Z92" s="2"/>
      <c r="AA92" s="2"/>
      <c r="AB92" s="2"/>
      <c r="AC92" s="2"/>
      <c r="AD92" s="2"/>
      <c r="AE92" s="2"/>
    </row>
    <row r="93" ht="12.0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2"/>
      <c r="Z93" s="2"/>
      <c r="AA93" s="2"/>
      <c r="AB93" s="2"/>
      <c r="AC93" s="2"/>
      <c r="AD93" s="2"/>
      <c r="AE93" s="2"/>
    </row>
    <row r="94" ht="12.0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2"/>
      <c r="Z94" s="2"/>
      <c r="AA94" s="2"/>
      <c r="AB94" s="2"/>
      <c r="AC94" s="2"/>
      <c r="AD94" s="2"/>
      <c r="AE94" s="2"/>
    </row>
    <row r="95" ht="12.0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2"/>
      <c r="Z95" s="2"/>
      <c r="AA95" s="2"/>
      <c r="AB95" s="2"/>
      <c r="AC95" s="2"/>
      <c r="AD95" s="2"/>
      <c r="AE95" s="2"/>
    </row>
    <row r="96" ht="12.0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2"/>
      <c r="Z96" s="2"/>
      <c r="AA96" s="2"/>
      <c r="AB96" s="2"/>
      <c r="AC96" s="2"/>
      <c r="AD96" s="2"/>
      <c r="AE96" s="2"/>
    </row>
    <row r="97" ht="12.0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2"/>
      <c r="Z97" s="2"/>
      <c r="AA97" s="2"/>
      <c r="AB97" s="2"/>
      <c r="AC97" s="2"/>
      <c r="AD97" s="2"/>
      <c r="AE97" s="2"/>
    </row>
    <row r="98" ht="12.0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2"/>
      <c r="Z98" s="2"/>
      <c r="AA98" s="2"/>
      <c r="AB98" s="2"/>
      <c r="AC98" s="2"/>
      <c r="AD98" s="2"/>
      <c r="AE98" s="2"/>
    </row>
    <row r="99" ht="12.0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2"/>
      <c r="Z99" s="2"/>
      <c r="AA99" s="2"/>
      <c r="AB99" s="2"/>
      <c r="AC99" s="2"/>
      <c r="AD99" s="2"/>
      <c r="AE99" s="2"/>
    </row>
    <row r="100" ht="12.0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2"/>
      <c r="Z100" s="2"/>
      <c r="AA100" s="2"/>
      <c r="AB100" s="2"/>
      <c r="AC100" s="2"/>
      <c r="AD100" s="2"/>
      <c r="AE100" s="2"/>
    </row>
    <row r="101" ht="12.0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2"/>
      <c r="Z101" s="2"/>
      <c r="AA101" s="2"/>
      <c r="AB101" s="2"/>
      <c r="AC101" s="2"/>
      <c r="AD101" s="2"/>
      <c r="AE101" s="2"/>
    </row>
    <row r="102" ht="12.0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2"/>
      <c r="Z102" s="2"/>
      <c r="AA102" s="2"/>
      <c r="AB102" s="2"/>
      <c r="AC102" s="2"/>
      <c r="AD102" s="2"/>
      <c r="AE102" s="2"/>
    </row>
    <row r="103" ht="12.0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2"/>
      <c r="Z103" s="2"/>
      <c r="AA103" s="2"/>
      <c r="AB103" s="2"/>
      <c r="AC103" s="2"/>
      <c r="AD103" s="2"/>
      <c r="AE103" s="2"/>
    </row>
    <row r="104" ht="12.0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2"/>
      <c r="Z104" s="2"/>
      <c r="AA104" s="2"/>
      <c r="AB104" s="2"/>
      <c r="AC104" s="2"/>
      <c r="AD104" s="2"/>
      <c r="AE104" s="2"/>
    </row>
    <row r="105" ht="12.0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2"/>
      <c r="Z105" s="2"/>
      <c r="AA105" s="2"/>
      <c r="AB105" s="2"/>
      <c r="AC105" s="2"/>
      <c r="AD105" s="2"/>
      <c r="AE105" s="2"/>
    </row>
    <row r="106" ht="12.0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2"/>
      <c r="Z106" s="2"/>
      <c r="AA106" s="2"/>
      <c r="AB106" s="2"/>
      <c r="AC106" s="2"/>
      <c r="AD106" s="2"/>
      <c r="AE106" s="2"/>
    </row>
    <row r="107" ht="12.0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2"/>
      <c r="Z107" s="2"/>
      <c r="AA107" s="2"/>
      <c r="AB107" s="2"/>
      <c r="AC107" s="2"/>
      <c r="AD107" s="2"/>
      <c r="AE107" s="2"/>
    </row>
    <row r="108" ht="12.0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2"/>
      <c r="Z108" s="2"/>
      <c r="AA108" s="2"/>
      <c r="AB108" s="2"/>
      <c r="AC108" s="2"/>
      <c r="AD108" s="2"/>
      <c r="AE108" s="2"/>
    </row>
    <row r="109" ht="12.0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2"/>
      <c r="Z109" s="2"/>
      <c r="AA109" s="2"/>
      <c r="AB109" s="2"/>
      <c r="AC109" s="2"/>
      <c r="AD109" s="2"/>
      <c r="AE109" s="2"/>
    </row>
    <row r="110" ht="12.0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2"/>
      <c r="Z110" s="2"/>
      <c r="AA110" s="2"/>
      <c r="AB110" s="2"/>
      <c r="AC110" s="2"/>
      <c r="AD110" s="2"/>
      <c r="AE110" s="2"/>
    </row>
    <row r="111" ht="12.0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2"/>
      <c r="Z111" s="2"/>
      <c r="AA111" s="2"/>
      <c r="AB111" s="2"/>
      <c r="AC111" s="2"/>
      <c r="AD111" s="2"/>
      <c r="AE111" s="2"/>
    </row>
    <row r="112" ht="12.0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2"/>
      <c r="Z112" s="2"/>
      <c r="AA112" s="2"/>
      <c r="AB112" s="2"/>
      <c r="AC112" s="2"/>
      <c r="AD112" s="2"/>
      <c r="AE112" s="2"/>
    </row>
    <row r="113" ht="12.0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2"/>
      <c r="Z113" s="2"/>
      <c r="AA113" s="2"/>
      <c r="AB113" s="2"/>
      <c r="AC113" s="2"/>
      <c r="AD113" s="2"/>
      <c r="AE113" s="2"/>
    </row>
    <row r="114" ht="12.0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2"/>
      <c r="Z114" s="2"/>
      <c r="AA114" s="2"/>
      <c r="AB114" s="2"/>
      <c r="AC114" s="2"/>
      <c r="AD114" s="2"/>
      <c r="AE114" s="2"/>
    </row>
    <row r="115" ht="12.0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2"/>
      <c r="Z115" s="2"/>
      <c r="AA115" s="2"/>
      <c r="AB115" s="2"/>
      <c r="AC115" s="2"/>
      <c r="AD115" s="2"/>
      <c r="AE115" s="2"/>
    </row>
    <row r="116" ht="12.0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2"/>
      <c r="Z116" s="2"/>
      <c r="AA116" s="2"/>
      <c r="AB116" s="2"/>
      <c r="AC116" s="2"/>
      <c r="AD116" s="2"/>
      <c r="AE116" s="2"/>
    </row>
    <row r="117" ht="12.0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2"/>
      <c r="Z117" s="2"/>
      <c r="AA117" s="2"/>
      <c r="AB117" s="2"/>
      <c r="AC117" s="2"/>
      <c r="AD117" s="2"/>
      <c r="AE117" s="2"/>
    </row>
    <row r="118" ht="12.0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2"/>
      <c r="Z118" s="2"/>
      <c r="AA118" s="2"/>
      <c r="AB118" s="2"/>
      <c r="AC118" s="2"/>
      <c r="AD118" s="2"/>
      <c r="AE118" s="2"/>
    </row>
    <row r="119" ht="12.0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2"/>
      <c r="Z119" s="2"/>
      <c r="AA119" s="2"/>
      <c r="AB119" s="2"/>
      <c r="AC119" s="2"/>
      <c r="AD119" s="2"/>
      <c r="AE119" s="2"/>
    </row>
    <row r="120" ht="12.0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2"/>
      <c r="Z120" s="2"/>
      <c r="AA120" s="2"/>
      <c r="AB120" s="2"/>
      <c r="AC120" s="2"/>
      <c r="AD120" s="2"/>
      <c r="AE120" s="2"/>
    </row>
    <row r="121" ht="12.0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2"/>
      <c r="Z121" s="2"/>
      <c r="AA121" s="2"/>
      <c r="AB121" s="2"/>
      <c r="AC121" s="2"/>
      <c r="AD121" s="2"/>
      <c r="AE121" s="2"/>
    </row>
    <row r="122" ht="12.0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2"/>
      <c r="Z122" s="2"/>
      <c r="AA122" s="2"/>
      <c r="AB122" s="2"/>
      <c r="AC122" s="2"/>
      <c r="AD122" s="2"/>
      <c r="AE122" s="2"/>
    </row>
    <row r="123" ht="12.0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2"/>
      <c r="Z123" s="2"/>
      <c r="AA123" s="2"/>
      <c r="AB123" s="2"/>
      <c r="AC123" s="2"/>
      <c r="AD123" s="2"/>
      <c r="AE123" s="2"/>
    </row>
    <row r="124" ht="12.0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2"/>
      <c r="Z124" s="2"/>
      <c r="AA124" s="2"/>
      <c r="AB124" s="2"/>
      <c r="AC124" s="2"/>
      <c r="AD124" s="2"/>
      <c r="AE124" s="2"/>
    </row>
    <row r="125" ht="12.0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2"/>
      <c r="Z125" s="2"/>
      <c r="AA125" s="2"/>
      <c r="AB125" s="2"/>
      <c r="AC125" s="2"/>
      <c r="AD125" s="2"/>
      <c r="AE125" s="2"/>
    </row>
    <row r="126" ht="12.0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2"/>
      <c r="Z126" s="2"/>
      <c r="AA126" s="2"/>
      <c r="AB126" s="2"/>
      <c r="AC126" s="2"/>
      <c r="AD126" s="2"/>
      <c r="AE126" s="2"/>
    </row>
    <row r="127" ht="12.0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2"/>
      <c r="Z127" s="2"/>
      <c r="AA127" s="2"/>
      <c r="AB127" s="2"/>
      <c r="AC127" s="2"/>
      <c r="AD127" s="2"/>
      <c r="AE127" s="2"/>
    </row>
    <row r="128" ht="12.0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2"/>
      <c r="Z128" s="2"/>
      <c r="AA128" s="2"/>
      <c r="AB128" s="2"/>
      <c r="AC128" s="2"/>
      <c r="AD128" s="2"/>
      <c r="AE128" s="2"/>
    </row>
    <row r="129" ht="12.0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2"/>
      <c r="Z129" s="2"/>
      <c r="AA129" s="2"/>
      <c r="AB129" s="2"/>
      <c r="AC129" s="2"/>
      <c r="AD129" s="2"/>
      <c r="AE129" s="2"/>
    </row>
    <row r="130" ht="12.0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2"/>
      <c r="Z130" s="2"/>
      <c r="AA130" s="2"/>
      <c r="AB130" s="2"/>
      <c r="AC130" s="2"/>
      <c r="AD130" s="2"/>
      <c r="AE130" s="2"/>
    </row>
    <row r="131" ht="12.0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2"/>
      <c r="Z131" s="2"/>
      <c r="AA131" s="2"/>
      <c r="AB131" s="2"/>
      <c r="AC131" s="2"/>
      <c r="AD131" s="2"/>
      <c r="AE131" s="2"/>
    </row>
    <row r="132" ht="12.0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2"/>
    </row>
    <row r="133" ht="12.0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2"/>
    </row>
    <row r="134" ht="12.0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2"/>
    </row>
    <row r="135" ht="12.0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0" customHeight="1">
      <c r="A136" s="132"/>
      <c r="B136" s="2"/>
      <c r="C136" s="2"/>
      <c r="D136" s="2"/>
      <c r="E136" s="2"/>
      <c r="F136" s="2"/>
      <c r="G136" s="2"/>
      <c r="H136" s="2"/>
      <c r="I136" s="2"/>
      <c r="J136" s="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0" customHeight="1">
      <c r="A137" s="1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2"/>
      <c r="N137" s="132"/>
      <c r="O137" s="132"/>
      <c r="P137" s="132"/>
      <c r="Q137" s="132"/>
      <c r="R137" s="132"/>
      <c r="S137" s="132"/>
      <c r="T137" s="13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0" customHeight="1">
      <c r="A138" s="1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2"/>
      <c r="N138" s="132"/>
      <c r="O138" s="132"/>
      <c r="P138" s="132"/>
      <c r="Q138" s="132"/>
      <c r="R138" s="132"/>
      <c r="S138" s="132"/>
      <c r="T138" s="13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0" customHeight="1">
      <c r="A139" s="1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2"/>
      <c r="N139" s="132"/>
      <c r="O139" s="132"/>
      <c r="P139" s="132"/>
      <c r="Q139" s="132"/>
      <c r="R139" s="132"/>
      <c r="S139" s="132"/>
      <c r="T139" s="13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0" customHeight="1">
      <c r="A140" s="1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2"/>
      <c r="N140" s="132"/>
      <c r="O140" s="132"/>
      <c r="P140" s="132"/>
      <c r="Q140" s="132"/>
      <c r="R140" s="132"/>
      <c r="S140" s="132"/>
      <c r="T140" s="13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0" customHeight="1">
      <c r="A141" s="1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2"/>
      <c r="N141" s="132"/>
      <c r="O141" s="132"/>
      <c r="P141" s="132"/>
      <c r="Q141" s="132"/>
      <c r="R141" s="132"/>
      <c r="S141" s="132"/>
      <c r="T141" s="13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0" customHeight="1">
      <c r="A142" s="1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2"/>
      <c r="N142" s="132"/>
      <c r="O142" s="132"/>
      <c r="P142" s="132"/>
      <c r="Q142" s="132"/>
      <c r="R142" s="132"/>
      <c r="S142" s="132"/>
      <c r="T142" s="13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0" customHeight="1">
      <c r="A143" s="1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2"/>
      <c r="N143" s="132"/>
      <c r="O143" s="132"/>
      <c r="P143" s="132"/>
      <c r="Q143" s="132"/>
      <c r="R143" s="132"/>
      <c r="S143" s="132"/>
      <c r="T143" s="13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0" customHeight="1">
      <c r="A144" s="13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2"/>
      <c r="AD144" s="2"/>
      <c r="AE144" s="2"/>
    </row>
    <row r="145" ht="12.0" customHeight="1">
      <c r="A145" s="132"/>
      <c r="B145" s="132"/>
      <c r="C145" s="186" t="s">
        <v>142</v>
      </c>
      <c r="D145" s="187"/>
      <c r="E145" s="187"/>
      <c r="F145" s="187"/>
      <c r="G145" s="188"/>
      <c r="H145" s="186" t="s">
        <v>76</v>
      </c>
      <c r="I145" s="188"/>
      <c r="J145" s="186" t="s">
        <v>77</v>
      </c>
      <c r="K145" s="188"/>
      <c r="L145" s="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2"/>
    </row>
    <row r="146" ht="12.0" customHeight="1">
      <c r="A146" s="132"/>
      <c r="B146" s="132"/>
      <c r="C146" s="189"/>
      <c r="D146" s="190" t="str">
        <f>'_TC'!$I10</f>
        <v>Chrome</v>
      </c>
      <c r="E146" s="190" t="str">
        <f>'_TC'!$J10</f>
        <v>IE11</v>
      </c>
      <c r="F146" s="190" t="str">
        <f>'_TC'!$K10</f>
        <v>Firefox</v>
      </c>
      <c r="G146" s="190" t="str">
        <f>'_TC'!$L10</f>
        <v>Mac
(Safari)</v>
      </c>
      <c r="H146" s="190" t="str">
        <f>'_TC'!$M10</f>
        <v>Samsung
browser</v>
      </c>
      <c r="I146" s="190" t="str">
        <f>'_TC'!$N10</f>
        <v>Chrome</v>
      </c>
      <c r="J146" s="190" t="str">
        <f>'_TC'!$O10</f>
        <v>Safari</v>
      </c>
      <c r="K146" s="190" t="str">
        <f>'_TC'!$P10</f>
        <v>Chrome</v>
      </c>
      <c r="L146" s="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</row>
    <row r="147" ht="12.0" customHeight="1">
      <c r="A147" s="132"/>
      <c r="B147" s="132"/>
      <c r="C147" s="189" t="s">
        <v>143</v>
      </c>
      <c r="D147" s="189">
        <f>COUNTIF('_TC'!$I:$I,"Pass")</f>
        <v>0</v>
      </c>
      <c r="E147" s="189">
        <f>COUNTIF('_TC'!$J:$J,"Pass")</f>
        <v>0</v>
      </c>
      <c r="F147" s="189">
        <f>COUNTIF('_TC'!$K:$K,"Pass")</f>
        <v>0</v>
      </c>
      <c r="G147" s="189">
        <f>COUNTIF('_TC'!$L:$L,"Pass")</f>
        <v>0</v>
      </c>
      <c r="H147" s="189">
        <f>COUNTIF('_TC'!$M:$M,"Pass")</f>
        <v>0</v>
      </c>
      <c r="I147" s="189">
        <f>COUNTIF('_TC'!$N:$N,"Pass")</f>
        <v>0</v>
      </c>
      <c r="J147" s="189">
        <f>COUNTIF('_TC'!$O:$O,"Pass")</f>
        <v>0</v>
      </c>
      <c r="K147" s="189">
        <f>COUNTIF('_TC'!$P:$P,"Pass")</f>
        <v>0</v>
      </c>
      <c r="L147" s="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</row>
    <row r="148" ht="12.0" customHeight="1">
      <c r="A148" s="132"/>
      <c r="B148" s="132"/>
      <c r="C148" s="189" t="s">
        <v>144</v>
      </c>
      <c r="D148" s="189">
        <f>COUNTIF('_TC'!$I:$I,"Fail")</f>
        <v>0</v>
      </c>
      <c r="E148" s="189">
        <f>COUNTIF('_TC'!$J:$J,"Fail")</f>
        <v>0</v>
      </c>
      <c r="F148" s="189">
        <f>COUNTIF('_TC'!$K:$K,"Fail")</f>
        <v>0</v>
      </c>
      <c r="G148" s="189">
        <f>COUNTIF('_TC'!$L:$L,"Fail")</f>
        <v>0</v>
      </c>
      <c r="H148" s="189">
        <f>COUNTIF('_TC'!$M:$M,"Fail")</f>
        <v>0</v>
      </c>
      <c r="I148" s="189">
        <f>COUNTIF('_TC'!$N:$N,"Fail")</f>
        <v>0</v>
      </c>
      <c r="J148" s="189">
        <f>COUNTIF('_TC'!$O:$O,"Fail")</f>
        <v>0</v>
      </c>
      <c r="K148" s="189">
        <f>COUNTIF('_TC'!$P:$P,"Fail")</f>
        <v>0</v>
      </c>
      <c r="L148" s="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2"/>
      <c r="Z148" s="2"/>
      <c r="AA148" s="2"/>
      <c r="AB148" s="2"/>
      <c r="AC148" s="2"/>
      <c r="AD148" s="2"/>
      <c r="AE148" s="2"/>
    </row>
    <row r="149" ht="12.0" customHeight="1">
      <c r="A149" s="132"/>
      <c r="B149" s="132"/>
      <c r="C149" s="148"/>
      <c r="D149" s="148"/>
      <c r="E149" s="148"/>
      <c r="F149" s="148"/>
      <c r="G149" s="148" t="s">
        <v>145</v>
      </c>
      <c r="H149" s="148"/>
      <c r="I149" s="148"/>
      <c r="J149" s="152"/>
      <c r="K149" s="152"/>
      <c r="L149" s="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2"/>
      <c r="Z149" s="2"/>
      <c r="AA149" s="2"/>
      <c r="AB149" s="2"/>
      <c r="AC149" s="2"/>
      <c r="AD149" s="2"/>
      <c r="AE149" s="2"/>
    </row>
    <row r="150" ht="12.0" customHeight="1">
      <c r="A150" s="132"/>
      <c r="B150" s="132"/>
      <c r="C150" s="148"/>
      <c r="D150" s="148"/>
      <c r="E150" s="148"/>
      <c r="F150" s="148"/>
      <c r="G150" s="148"/>
      <c r="H150" s="148"/>
      <c r="I150" s="148"/>
      <c r="J150" s="152"/>
      <c r="K150" s="152"/>
      <c r="L150" s="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2"/>
      <c r="Z150" s="2"/>
      <c r="AA150" s="2"/>
      <c r="AB150" s="2"/>
      <c r="AC150" s="2"/>
      <c r="AD150" s="2"/>
      <c r="AE150" s="2"/>
    </row>
    <row r="151" ht="12.0" customHeight="1">
      <c r="A151" s="132"/>
      <c r="B151" s="132"/>
      <c r="C151" s="191" t="s">
        <v>146</v>
      </c>
      <c r="D151" s="192" t="s">
        <v>104</v>
      </c>
      <c r="E151" s="193"/>
      <c r="F151" s="193"/>
      <c r="G151" s="194" t="s">
        <v>147</v>
      </c>
      <c r="H151" s="195" t="s">
        <v>148</v>
      </c>
      <c r="I151" s="196" t="s">
        <v>149</v>
      </c>
      <c r="J151" s="193"/>
      <c r="K151" s="152"/>
      <c r="L151" s="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2"/>
      <c r="Z151" s="2"/>
      <c r="AA151" s="2"/>
      <c r="AB151" s="2"/>
      <c r="AC151" s="2"/>
      <c r="AD151" s="2"/>
      <c r="AE151" s="2"/>
    </row>
    <row r="152" ht="12.0" customHeight="1">
      <c r="A152" s="132"/>
      <c r="B152" s="132"/>
      <c r="C152" s="197">
        <f>IFERROR(((H4+J4+L4)/B4),0)</f>
        <v>0</v>
      </c>
      <c r="D152" s="197">
        <f>D4</f>
        <v>0</v>
      </c>
      <c r="E152" s="193"/>
      <c r="F152" s="193"/>
      <c r="G152" s="193">
        <f>COUNTIF('_TC'!$R:$R,"High")</f>
        <v>0</v>
      </c>
      <c r="H152" s="193">
        <f>COUNTIF('_TC'!$R:$R,"Medium")</f>
        <v>0</v>
      </c>
      <c r="I152" s="193">
        <f>COUNTIF('_TC'!$R:$R,"Low")</f>
        <v>0</v>
      </c>
      <c r="J152" s="193"/>
      <c r="K152" s="152"/>
      <c r="L152" s="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2"/>
      <c r="Z152" s="2"/>
      <c r="AA152" s="2"/>
      <c r="AB152" s="2"/>
      <c r="AC152" s="2"/>
      <c r="AD152" s="2"/>
      <c r="AE152" s="2"/>
    </row>
    <row r="153" ht="12.0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2"/>
      <c r="Z153" s="2"/>
      <c r="AA153" s="2"/>
      <c r="AB153" s="2"/>
      <c r="AC153" s="2"/>
      <c r="AD153" s="2"/>
      <c r="AE153" s="2"/>
    </row>
    <row r="154" ht="12.0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2"/>
      <c r="Z154" s="2"/>
      <c r="AA154" s="2"/>
      <c r="AB154" s="2"/>
      <c r="AC154" s="2"/>
      <c r="AD154" s="2"/>
      <c r="AE154" s="2"/>
    </row>
    <row r="155" ht="12.0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2"/>
      <c r="Z155" s="2"/>
      <c r="AA155" s="2"/>
      <c r="AB155" s="2"/>
      <c r="AC155" s="2"/>
      <c r="AD155" s="2"/>
      <c r="AE155" s="2"/>
    </row>
    <row r="156" ht="12.0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2"/>
      <c r="Z156" s="2"/>
      <c r="AA156" s="2"/>
      <c r="AB156" s="2"/>
      <c r="AC156" s="2"/>
      <c r="AD156" s="2"/>
      <c r="AE156" s="2"/>
    </row>
    <row r="157" ht="12.0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2"/>
      <c r="Z157" s="2"/>
      <c r="AA157" s="2"/>
      <c r="AB157" s="2"/>
      <c r="AC157" s="2"/>
      <c r="AD157" s="2"/>
      <c r="AE157" s="2"/>
    </row>
    <row r="158" ht="12.0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2"/>
      <c r="Z158" s="2"/>
      <c r="AA158" s="2"/>
      <c r="AB158" s="2"/>
      <c r="AC158" s="2"/>
      <c r="AD158" s="2"/>
      <c r="AE158" s="2"/>
    </row>
    <row r="159" ht="12.0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2"/>
      <c r="Z159" s="2"/>
      <c r="AA159" s="2"/>
      <c r="AB159" s="2"/>
      <c r="AC159" s="2"/>
      <c r="AD159" s="2"/>
      <c r="AE159" s="2"/>
    </row>
    <row r="160" ht="12.0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2"/>
      <c r="Z160" s="2"/>
      <c r="AA160" s="2"/>
      <c r="AB160" s="2"/>
      <c r="AC160" s="2"/>
      <c r="AD160" s="2"/>
      <c r="AE160" s="2"/>
    </row>
    <row r="161" ht="12.0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2"/>
      <c r="Z161" s="2"/>
      <c r="AA161" s="2"/>
      <c r="AB161" s="2"/>
      <c r="AC161" s="2"/>
      <c r="AD161" s="2"/>
      <c r="AE161" s="2"/>
    </row>
    <row r="162" ht="12.0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2"/>
      <c r="Z162" s="2"/>
      <c r="AA162" s="2"/>
      <c r="AB162" s="2"/>
      <c r="AC162" s="2"/>
      <c r="AD162" s="2"/>
      <c r="AE162" s="2"/>
    </row>
    <row r="163" ht="12.0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2"/>
      <c r="Z163" s="2"/>
      <c r="AA163" s="2"/>
      <c r="AB163" s="2"/>
      <c r="AC163" s="2"/>
      <c r="AD163" s="2"/>
      <c r="AE163" s="2"/>
    </row>
    <row r="164" ht="12.0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2"/>
      <c r="Z164" s="2"/>
      <c r="AA164" s="2"/>
      <c r="AB164" s="2"/>
      <c r="AC164" s="2"/>
      <c r="AD164" s="2"/>
      <c r="AE164" s="2"/>
    </row>
    <row r="165" ht="12.0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2"/>
      <c r="Z165" s="2"/>
      <c r="AA165" s="2"/>
      <c r="AB165" s="2"/>
      <c r="AC165" s="2"/>
      <c r="AD165" s="2"/>
      <c r="AE165" s="2"/>
    </row>
    <row r="166" ht="12.0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2"/>
      <c r="Z166" s="2"/>
      <c r="AA166" s="2"/>
      <c r="AB166" s="2"/>
      <c r="AC166" s="2"/>
      <c r="AD166" s="2"/>
      <c r="AE166" s="2"/>
    </row>
    <row r="167" ht="12.0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2"/>
      <c r="Z167" s="2"/>
      <c r="AA167" s="2"/>
      <c r="AB167" s="2"/>
      <c r="AC167" s="2"/>
      <c r="AD167" s="2"/>
      <c r="AE167" s="2"/>
    </row>
    <row r="168" ht="12.0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2"/>
      <c r="Z168" s="2"/>
      <c r="AA168" s="2"/>
      <c r="AB168" s="2"/>
      <c r="AC168" s="2"/>
      <c r="AD168" s="2"/>
      <c r="AE168" s="2"/>
    </row>
    <row r="169" ht="12.0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2"/>
      <c r="Z169" s="2"/>
      <c r="AA169" s="2"/>
      <c r="AB169" s="2"/>
      <c r="AC169" s="2"/>
      <c r="AD169" s="2"/>
      <c r="AE169" s="2"/>
    </row>
    <row r="170" ht="12.0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2"/>
      <c r="Z170" s="2"/>
      <c r="AA170" s="2"/>
      <c r="AB170" s="2"/>
      <c r="AC170" s="2"/>
      <c r="AD170" s="2"/>
      <c r="AE170" s="2"/>
    </row>
    <row r="171" ht="12.0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2"/>
      <c r="Z171" s="2"/>
      <c r="AA171" s="2"/>
      <c r="AB171" s="2"/>
      <c r="AC171" s="2"/>
      <c r="AD171" s="2"/>
      <c r="AE171" s="2"/>
    </row>
    <row r="172" ht="12.0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2"/>
      <c r="Z172" s="2"/>
      <c r="AA172" s="2"/>
      <c r="AB172" s="2"/>
      <c r="AC172" s="2"/>
      <c r="AD172" s="2"/>
      <c r="AE172" s="2"/>
    </row>
    <row r="173" ht="12.0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2"/>
      <c r="Z173" s="2"/>
      <c r="AA173" s="2"/>
      <c r="AB173" s="2"/>
      <c r="AC173" s="2"/>
      <c r="AD173" s="2"/>
      <c r="AE173" s="2"/>
    </row>
    <row r="174" ht="12.0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2"/>
      <c r="Z174" s="2"/>
      <c r="AA174" s="2"/>
      <c r="AB174" s="2"/>
      <c r="AC174" s="2"/>
      <c r="AD174" s="2"/>
      <c r="AE174" s="2"/>
    </row>
    <row r="175" ht="12.0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2"/>
      <c r="Z175" s="2"/>
      <c r="AA175" s="2"/>
      <c r="AB175" s="2"/>
      <c r="AC175" s="2"/>
      <c r="AD175" s="2"/>
      <c r="AE175" s="2"/>
    </row>
    <row r="176" ht="12.0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2"/>
      <c r="Z176" s="2"/>
      <c r="AA176" s="2"/>
      <c r="AB176" s="2"/>
      <c r="AC176" s="2"/>
      <c r="AD176" s="2"/>
      <c r="AE176" s="2"/>
    </row>
    <row r="177" ht="12.0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2"/>
      <c r="Z177" s="2"/>
      <c r="AA177" s="2"/>
      <c r="AB177" s="2"/>
      <c r="AC177" s="2"/>
      <c r="AD177" s="2"/>
      <c r="AE177" s="2"/>
    </row>
    <row r="178" ht="12.0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2"/>
      <c r="Z178" s="2"/>
      <c r="AA178" s="2"/>
      <c r="AB178" s="2"/>
      <c r="AC178" s="2"/>
      <c r="AD178" s="2"/>
      <c r="AE178" s="2"/>
    </row>
    <row r="179" ht="12.0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2"/>
      <c r="Z179" s="2"/>
      <c r="AA179" s="2"/>
      <c r="AB179" s="2"/>
      <c r="AC179" s="2"/>
      <c r="AD179" s="2"/>
      <c r="AE179" s="2"/>
    </row>
    <row r="180" ht="12.0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2"/>
      <c r="Z180" s="2"/>
      <c r="AA180" s="2"/>
      <c r="AB180" s="2"/>
      <c r="AC180" s="2"/>
      <c r="AD180" s="2"/>
      <c r="AE180" s="2"/>
    </row>
    <row r="181" ht="12.0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2"/>
      <c r="Z181" s="2"/>
      <c r="AA181" s="2"/>
      <c r="AB181" s="2"/>
      <c r="AC181" s="2"/>
      <c r="AD181" s="2"/>
      <c r="AE181" s="2"/>
    </row>
    <row r="182" ht="12.0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2"/>
      <c r="Z182" s="2"/>
      <c r="AA182" s="2"/>
      <c r="AB182" s="2"/>
      <c r="AC182" s="2"/>
      <c r="AD182" s="2"/>
      <c r="AE182" s="2"/>
    </row>
    <row r="183" ht="12.0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2"/>
      <c r="Z183" s="2"/>
      <c r="AA183" s="2"/>
      <c r="AB183" s="2"/>
      <c r="AC183" s="2"/>
      <c r="AD183" s="2"/>
      <c r="AE183" s="2"/>
    </row>
    <row r="184" ht="12.0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2"/>
      <c r="Z184" s="2"/>
      <c r="AA184" s="2"/>
      <c r="AB184" s="2"/>
      <c r="AC184" s="2"/>
      <c r="AD184" s="2"/>
      <c r="AE184" s="2"/>
    </row>
    <row r="185" ht="12.0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2"/>
      <c r="Z185" s="2"/>
      <c r="AA185" s="2"/>
      <c r="AB185" s="2"/>
      <c r="AC185" s="2"/>
      <c r="AD185" s="2"/>
      <c r="AE185" s="2"/>
    </row>
    <row r="186" ht="12.0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2"/>
      <c r="Z186" s="2"/>
      <c r="AA186" s="2"/>
      <c r="AB186" s="2"/>
      <c r="AC186" s="2"/>
      <c r="AD186" s="2"/>
      <c r="AE186" s="2"/>
    </row>
    <row r="187" ht="12.0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2"/>
      <c r="Z187" s="2"/>
      <c r="AA187" s="2"/>
      <c r="AB187" s="2"/>
      <c r="AC187" s="2"/>
      <c r="AD187" s="2"/>
      <c r="AE187" s="2"/>
    </row>
    <row r="188" ht="12.0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2"/>
      <c r="Z188" s="2"/>
      <c r="AA188" s="2"/>
      <c r="AB188" s="2"/>
      <c r="AC188" s="2"/>
      <c r="AD188" s="2"/>
      <c r="AE188" s="2"/>
    </row>
    <row r="189" ht="12.0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2"/>
      <c r="Z189" s="2"/>
      <c r="AA189" s="2"/>
      <c r="AB189" s="2"/>
      <c r="AC189" s="2"/>
      <c r="AD189" s="2"/>
      <c r="AE189" s="2"/>
    </row>
    <row r="190" ht="12.0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2"/>
      <c r="Z190" s="2"/>
      <c r="AA190" s="2"/>
      <c r="AB190" s="2"/>
      <c r="AC190" s="2"/>
      <c r="AD190" s="2"/>
      <c r="AE190" s="2"/>
    </row>
    <row r="191" ht="12.0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2"/>
      <c r="Z191" s="2"/>
      <c r="AA191" s="2"/>
      <c r="AB191" s="2"/>
      <c r="AC191" s="2"/>
      <c r="AD191" s="2"/>
      <c r="AE191" s="2"/>
    </row>
    <row r="192" ht="12.0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2"/>
      <c r="Z192" s="2"/>
      <c r="AA192" s="2"/>
      <c r="AB192" s="2"/>
      <c r="AC192" s="2"/>
      <c r="AD192" s="2"/>
      <c r="AE192" s="2"/>
    </row>
    <row r="193" ht="12.0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2"/>
      <c r="Z193" s="2"/>
      <c r="AA193" s="2"/>
      <c r="AB193" s="2"/>
      <c r="AC193" s="2"/>
      <c r="AD193" s="2"/>
      <c r="AE193" s="2"/>
    </row>
    <row r="194" ht="12.0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2"/>
      <c r="Z194" s="2"/>
      <c r="AA194" s="2"/>
      <c r="AB194" s="2"/>
      <c r="AC194" s="2"/>
      <c r="AD194" s="2"/>
      <c r="AE194" s="2"/>
    </row>
    <row r="195" ht="12.0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2"/>
      <c r="Z195" s="2"/>
      <c r="AA195" s="2"/>
      <c r="AB195" s="2"/>
      <c r="AC195" s="2"/>
      <c r="AD195" s="2"/>
      <c r="AE195" s="2"/>
    </row>
    <row r="196" ht="12.0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2"/>
      <c r="Z196" s="2"/>
      <c r="AA196" s="2"/>
      <c r="AB196" s="2"/>
      <c r="AC196" s="2"/>
      <c r="AD196" s="2"/>
      <c r="AE196" s="2"/>
    </row>
    <row r="197" ht="12.0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2"/>
      <c r="Z197" s="2"/>
      <c r="AA197" s="2"/>
      <c r="AB197" s="2"/>
      <c r="AC197" s="2"/>
      <c r="AD197" s="2"/>
      <c r="AE197" s="2"/>
    </row>
    <row r="198" ht="12.0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2"/>
      <c r="Z198" s="2"/>
      <c r="AA198" s="2"/>
      <c r="AB198" s="2"/>
      <c r="AC198" s="2"/>
      <c r="AD198" s="2"/>
      <c r="AE198" s="2"/>
    </row>
    <row r="199" ht="12.0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2"/>
      <c r="Z199" s="2"/>
      <c r="AA199" s="2"/>
      <c r="AB199" s="2"/>
      <c r="AC199" s="2"/>
      <c r="AD199" s="2"/>
      <c r="AE199" s="2"/>
    </row>
    <row r="200" ht="12.0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2"/>
      <c r="Z200" s="2"/>
      <c r="AA200" s="2"/>
      <c r="AB200" s="2"/>
      <c r="AC200" s="2"/>
      <c r="AD200" s="2"/>
      <c r="AE200" s="2"/>
    </row>
    <row r="201" ht="12.0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2"/>
      <c r="Z201" s="2"/>
      <c r="AA201" s="2"/>
      <c r="AB201" s="2"/>
      <c r="AC201" s="2"/>
      <c r="AD201" s="2"/>
      <c r="AE201" s="2"/>
    </row>
    <row r="202" ht="12.0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2"/>
      <c r="Z202" s="2"/>
      <c r="AA202" s="2"/>
      <c r="AB202" s="2"/>
      <c r="AC202" s="2"/>
      <c r="AD202" s="2"/>
      <c r="AE202" s="2"/>
    </row>
    <row r="203" ht="12.0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2"/>
      <c r="Z203" s="2"/>
      <c r="AA203" s="2"/>
      <c r="AB203" s="2"/>
      <c r="AC203" s="2"/>
      <c r="AD203" s="2"/>
      <c r="AE203" s="2"/>
    </row>
    <row r="204" ht="12.0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2"/>
      <c r="Z204" s="2"/>
      <c r="AA204" s="2"/>
      <c r="AB204" s="2"/>
      <c r="AC204" s="2"/>
      <c r="AD204" s="2"/>
      <c r="AE204" s="2"/>
    </row>
    <row r="205" ht="12.0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2"/>
      <c r="Z205" s="2"/>
      <c r="AA205" s="2"/>
      <c r="AB205" s="2"/>
      <c r="AC205" s="2"/>
      <c r="AD205" s="2"/>
      <c r="AE205" s="2"/>
    </row>
    <row r="206" ht="12.0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2"/>
      <c r="Z206" s="2"/>
      <c r="AA206" s="2"/>
      <c r="AB206" s="2"/>
      <c r="AC206" s="2"/>
      <c r="AD206" s="2"/>
      <c r="AE206" s="2"/>
    </row>
    <row r="207" ht="12.0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2"/>
      <c r="Z207" s="2"/>
      <c r="AA207" s="2"/>
      <c r="AB207" s="2"/>
      <c r="AC207" s="2"/>
      <c r="AD207" s="2"/>
      <c r="AE207" s="2"/>
    </row>
    <row r="208" ht="12.0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2"/>
      <c r="Z208" s="2"/>
      <c r="AA208" s="2"/>
      <c r="AB208" s="2"/>
      <c r="AC208" s="2"/>
      <c r="AD208" s="2"/>
      <c r="AE208" s="2"/>
    </row>
    <row r="209" ht="12.0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2"/>
      <c r="Z209" s="2"/>
      <c r="AA209" s="2"/>
      <c r="AB209" s="2"/>
      <c r="AC209" s="2"/>
      <c r="AD209" s="2"/>
      <c r="AE209" s="2"/>
    </row>
    <row r="210" ht="12.0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2"/>
      <c r="Z210" s="2"/>
      <c r="AA210" s="2"/>
      <c r="AB210" s="2"/>
      <c r="AC210" s="2"/>
      <c r="AD210" s="2"/>
      <c r="AE210" s="2"/>
    </row>
    <row r="211" ht="12.0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2"/>
      <c r="Z211" s="2"/>
      <c r="AA211" s="2"/>
      <c r="AB211" s="2"/>
      <c r="AC211" s="2"/>
      <c r="AD211" s="2"/>
      <c r="AE211" s="2"/>
    </row>
    <row r="212" ht="12.0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2"/>
      <c r="Z212" s="2"/>
      <c r="AA212" s="2"/>
      <c r="AB212" s="2"/>
      <c r="AC212" s="2"/>
      <c r="AD212" s="2"/>
      <c r="AE212" s="2"/>
    </row>
    <row r="213" ht="12.0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2"/>
      <c r="Z213" s="2"/>
      <c r="AA213" s="2"/>
      <c r="AB213" s="2"/>
      <c r="AC213" s="2"/>
      <c r="AD213" s="2"/>
      <c r="AE213" s="2"/>
    </row>
    <row r="214" ht="12.0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2"/>
      <c r="Z214" s="2"/>
      <c r="AA214" s="2"/>
      <c r="AB214" s="2"/>
      <c r="AC214" s="2"/>
      <c r="AD214" s="2"/>
      <c r="AE214" s="2"/>
    </row>
    <row r="215" ht="12.0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2"/>
      <c r="Z215" s="2"/>
      <c r="AA215" s="2"/>
      <c r="AB215" s="2"/>
      <c r="AC215" s="2"/>
      <c r="AD215" s="2"/>
      <c r="AE215" s="2"/>
    </row>
    <row r="216" ht="12.0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2"/>
      <c r="Z216" s="2"/>
      <c r="AA216" s="2"/>
      <c r="AB216" s="2"/>
      <c r="AC216" s="2"/>
      <c r="AD216" s="2"/>
      <c r="AE216" s="2"/>
    </row>
    <row r="217" ht="12.0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2"/>
      <c r="Z217" s="2"/>
      <c r="AA217" s="2"/>
      <c r="AB217" s="2"/>
      <c r="AC217" s="2"/>
      <c r="AD217" s="2"/>
      <c r="AE217" s="2"/>
    </row>
    <row r="218" ht="12.0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2"/>
      <c r="Z218" s="2"/>
      <c r="AA218" s="2"/>
      <c r="AB218" s="2"/>
      <c r="AC218" s="2"/>
      <c r="AD218" s="2"/>
      <c r="AE218" s="2"/>
    </row>
    <row r="219" ht="12.0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2"/>
      <c r="Z219" s="2"/>
      <c r="AA219" s="2"/>
      <c r="AB219" s="2"/>
      <c r="AC219" s="2"/>
      <c r="AD219" s="2"/>
      <c r="AE219" s="2"/>
    </row>
    <row r="220" ht="12.0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2"/>
      <c r="Z220" s="2"/>
      <c r="AA220" s="2"/>
      <c r="AB220" s="2"/>
      <c r="AC220" s="2"/>
      <c r="AD220" s="2"/>
      <c r="AE220" s="2"/>
    </row>
    <row r="221" ht="12.0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2"/>
      <c r="Z221" s="2"/>
      <c r="AA221" s="2"/>
      <c r="AB221" s="2"/>
      <c r="AC221" s="2"/>
      <c r="AD221" s="2"/>
      <c r="AE221" s="2"/>
    </row>
    <row r="222" ht="12.0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2"/>
      <c r="Z222" s="2"/>
      <c r="AA222" s="2"/>
      <c r="AB222" s="2"/>
      <c r="AC222" s="2"/>
      <c r="AD222" s="2"/>
      <c r="AE222" s="2"/>
    </row>
    <row r="223" ht="12.0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2"/>
      <c r="Z223" s="2"/>
      <c r="AA223" s="2"/>
      <c r="AB223" s="2"/>
      <c r="AC223" s="2"/>
      <c r="AD223" s="2"/>
      <c r="AE223" s="2"/>
    </row>
    <row r="224" ht="12.0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2"/>
      <c r="Z224" s="2"/>
      <c r="AA224" s="2"/>
      <c r="AB224" s="2"/>
      <c r="AC224" s="2"/>
      <c r="AD224" s="2"/>
      <c r="AE224" s="2"/>
    </row>
    <row r="225" ht="12.0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2"/>
      <c r="Z225" s="2"/>
      <c r="AA225" s="2"/>
      <c r="AB225" s="2"/>
      <c r="AC225" s="2"/>
      <c r="AD225" s="2"/>
      <c r="AE225" s="2"/>
    </row>
    <row r="226" ht="12.0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2"/>
      <c r="Z226" s="2"/>
      <c r="AA226" s="2"/>
      <c r="AB226" s="2"/>
      <c r="AC226" s="2"/>
      <c r="AD226" s="2"/>
      <c r="AE226" s="2"/>
    </row>
    <row r="227" ht="12.0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2"/>
      <c r="Z227" s="2"/>
      <c r="AA227" s="2"/>
      <c r="AB227" s="2"/>
      <c r="AC227" s="2"/>
      <c r="AD227" s="2"/>
      <c r="AE227" s="2"/>
    </row>
    <row r="228" ht="12.0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2"/>
      <c r="Z228" s="2"/>
      <c r="AA228" s="2"/>
      <c r="AB228" s="2"/>
      <c r="AC228" s="2"/>
      <c r="AD228" s="2"/>
      <c r="AE228" s="2"/>
    </row>
    <row r="229" ht="12.0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2"/>
      <c r="Z229" s="2"/>
      <c r="AA229" s="2"/>
      <c r="AB229" s="2"/>
      <c r="AC229" s="2"/>
      <c r="AD229" s="2"/>
      <c r="AE229" s="2"/>
    </row>
    <row r="230" ht="12.0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2"/>
      <c r="Z230" s="2"/>
      <c r="AA230" s="2"/>
      <c r="AB230" s="2"/>
      <c r="AC230" s="2"/>
      <c r="AD230" s="2"/>
      <c r="AE230" s="2"/>
    </row>
    <row r="231" ht="12.0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2"/>
      <c r="Z231" s="2"/>
      <c r="AA231" s="2"/>
      <c r="AB231" s="2"/>
      <c r="AC231" s="2"/>
      <c r="AD231" s="2"/>
      <c r="AE231" s="2"/>
    </row>
    <row r="232" ht="12.0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2"/>
      <c r="Z232" s="2"/>
      <c r="AA232" s="2"/>
      <c r="AB232" s="2"/>
      <c r="AC232" s="2"/>
      <c r="AD232" s="2"/>
      <c r="AE232" s="2"/>
    </row>
    <row r="233" ht="12.0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2"/>
      <c r="Z233" s="2"/>
      <c r="AA233" s="2"/>
      <c r="AB233" s="2"/>
      <c r="AC233" s="2"/>
      <c r="AD233" s="2"/>
      <c r="AE233" s="2"/>
    </row>
    <row r="234" ht="12.0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2"/>
      <c r="Z234" s="2"/>
      <c r="AA234" s="2"/>
      <c r="AB234" s="2"/>
      <c r="AC234" s="2"/>
      <c r="AD234" s="2"/>
      <c r="AE234" s="2"/>
    </row>
    <row r="235" ht="12.0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2"/>
      <c r="Z235" s="2"/>
      <c r="AA235" s="2"/>
      <c r="AB235" s="2"/>
      <c r="AC235" s="2"/>
      <c r="AD235" s="2"/>
      <c r="AE235" s="2"/>
    </row>
    <row r="236" ht="12.0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2"/>
      <c r="Z236" s="2"/>
      <c r="AA236" s="2"/>
      <c r="AB236" s="2"/>
      <c r="AC236" s="2"/>
      <c r="AD236" s="2"/>
      <c r="AE236" s="2"/>
    </row>
    <row r="237" ht="12.0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2"/>
      <c r="Z237" s="2"/>
      <c r="AA237" s="2"/>
      <c r="AB237" s="2"/>
      <c r="AC237" s="2"/>
      <c r="AD237" s="2"/>
      <c r="AE237" s="2"/>
    </row>
    <row r="238" ht="12.0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2"/>
      <c r="Z238" s="2"/>
      <c r="AA238" s="2"/>
      <c r="AB238" s="2"/>
      <c r="AC238" s="2"/>
      <c r="AD238" s="2"/>
      <c r="AE238" s="2"/>
    </row>
    <row r="239" ht="12.0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2"/>
      <c r="Z239" s="2"/>
      <c r="AA239" s="2"/>
      <c r="AB239" s="2"/>
      <c r="AC239" s="2"/>
      <c r="AD239" s="2"/>
      <c r="AE239" s="2"/>
    </row>
    <row r="240" ht="12.0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2"/>
      <c r="Z240" s="2"/>
      <c r="AA240" s="2"/>
      <c r="AB240" s="2"/>
      <c r="AC240" s="2"/>
      <c r="AD240" s="2"/>
      <c r="AE240" s="2"/>
    </row>
    <row r="241" ht="12.0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2"/>
      <c r="Z241" s="2"/>
      <c r="AA241" s="2"/>
      <c r="AB241" s="2"/>
      <c r="AC241" s="2"/>
      <c r="AD241" s="2"/>
      <c r="AE241" s="2"/>
    </row>
    <row r="242" ht="12.0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2"/>
      <c r="Z242" s="2"/>
      <c r="AA242" s="2"/>
      <c r="AB242" s="2"/>
      <c r="AC242" s="2"/>
      <c r="AD242" s="2"/>
      <c r="AE242" s="2"/>
    </row>
    <row r="243" ht="12.0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2"/>
      <c r="Z243" s="2"/>
      <c r="AA243" s="2"/>
      <c r="AB243" s="2"/>
      <c r="AC243" s="2"/>
      <c r="AD243" s="2"/>
      <c r="AE243" s="2"/>
    </row>
    <row r="244" ht="12.0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2"/>
      <c r="Z244" s="2"/>
      <c r="AA244" s="2"/>
      <c r="AB244" s="2"/>
      <c r="AC244" s="2"/>
      <c r="AD244" s="2"/>
      <c r="AE244" s="2"/>
    </row>
    <row r="245" ht="12.0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2"/>
      <c r="Z245" s="2"/>
      <c r="AA245" s="2"/>
      <c r="AB245" s="2"/>
      <c r="AC245" s="2"/>
      <c r="AD245" s="2"/>
      <c r="AE245" s="2"/>
    </row>
    <row r="246" ht="12.0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2"/>
      <c r="Z246" s="2"/>
      <c r="AA246" s="2"/>
      <c r="AB246" s="2"/>
      <c r="AC246" s="2"/>
      <c r="AD246" s="2"/>
      <c r="AE246" s="2"/>
    </row>
    <row r="247" ht="12.0" customHeight="1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2"/>
      <c r="Z247" s="2"/>
      <c r="AA247" s="2"/>
      <c r="AB247" s="2"/>
      <c r="AC247" s="2"/>
      <c r="AD247" s="2"/>
      <c r="AE247" s="2"/>
    </row>
    <row r="248" ht="12.0" customHeight="1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2"/>
      <c r="Z248" s="2"/>
      <c r="AA248" s="2"/>
      <c r="AB248" s="2"/>
      <c r="AC248" s="2"/>
      <c r="AD248" s="2"/>
      <c r="AE248" s="2"/>
    </row>
    <row r="249" ht="12.0" customHeight="1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2"/>
      <c r="Z249" s="2"/>
      <c r="AA249" s="2"/>
      <c r="AB249" s="2"/>
      <c r="AC249" s="2"/>
      <c r="AD249" s="2"/>
      <c r="AE249" s="2"/>
    </row>
    <row r="250" ht="12.0" customHeight="1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2"/>
      <c r="Z250" s="2"/>
      <c r="AA250" s="2"/>
      <c r="AB250" s="2"/>
      <c r="AC250" s="2"/>
      <c r="AD250" s="2"/>
      <c r="AE250" s="2"/>
    </row>
    <row r="251" ht="12.0" customHeight="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2"/>
      <c r="Z251" s="2"/>
      <c r="AA251" s="2"/>
      <c r="AB251" s="2"/>
      <c r="AC251" s="2"/>
      <c r="AD251" s="2"/>
      <c r="AE251" s="2"/>
    </row>
    <row r="252" ht="12.0" customHeight="1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2"/>
      <c r="Z252" s="2"/>
      <c r="AA252" s="2"/>
      <c r="AB252" s="2"/>
      <c r="AC252" s="2"/>
      <c r="AD252" s="2"/>
      <c r="AE252" s="2"/>
    </row>
    <row r="253" ht="12.0" customHeight="1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2"/>
      <c r="Z253" s="2"/>
      <c r="AA253" s="2"/>
      <c r="AB253" s="2"/>
      <c r="AC253" s="2"/>
      <c r="AD253" s="2"/>
      <c r="AE253" s="2"/>
    </row>
    <row r="254" ht="12.0" customHeight="1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2"/>
      <c r="Z254" s="2"/>
      <c r="AA254" s="2"/>
      <c r="AB254" s="2"/>
      <c r="AC254" s="2"/>
      <c r="AD254" s="2"/>
      <c r="AE254" s="2"/>
    </row>
    <row r="255" ht="12.0" customHeight="1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2"/>
      <c r="Z255" s="2"/>
      <c r="AA255" s="2"/>
      <c r="AB255" s="2"/>
      <c r="AC255" s="2"/>
      <c r="AD255" s="2"/>
      <c r="AE255" s="2"/>
    </row>
    <row r="256" ht="12.0" customHeight="1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2"/>
      <c r="Z256" s="2"/>
      <c r="AA256" s="2"/>
      <c r="AB256" s="2"/>
      <c r="AC256" s="2"/>
      <c r="AD256" s="2"/>
      <c r="AE256" s="2"/>
    </row>
    <row r="257" ht="12.0" customHeight="1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2"/>
      <c r="Z257" s="2"/>
      <c r="AA257" s="2"/>
      <c r="AB257" s="2"/>
      <c r="AC257" s="2"/>
      <c r="AD257" s="2"/>
      <c r="AE257" s="2"/>
    </row>
    <row r="258" ht="12.0" customHeight="1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2"/>
      <c r="Z258" s="2"/>
      <c r="AA258" s="2"/>
      <c r="AB258" s="2"/>
      <c r="AC258" s="2"/>
      <c r="AD258" s="2"/>
      <c r="AE258" s="2"/>
    </row>
    <row r="259" ht="12.0" customHeight="1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2"/>
      <c r="Z259" s="2"/>
      <c r="AA259" s="2"/>
      <c r="AB259" s="2"/>
      <c r="AC259" s="2"/>
      <c r="AD259" s="2"/>
      <c r="AE259" s="2"/>
    </row>
    <row r="260" ht="12.0" customHeight="1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2"/>
      <c r="Z260" s="2"/>
      <c r="AA260" s="2"/>
      <c r="AB260" s="2"/>
      <c r="AC260" s="2"/>
      <c r="AD260" s="2"/>
      <c r="AE260" s="2"/>
    </row>
    <row r="261" ht="12.0" customHeight="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2"/>
      <c r="Z261" s="2"/>
      <c r="AA261" s="2"/>
      <c r="AB261" s="2"/>
      <c r="AC261" s="2"/>
      <c r="AD261" s="2"/>
      <c r="AE261" s="2"/>
    </row>
    <row r="262" ht="12.0" customHeight="1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2"/>
      <c r="Z262" s="2"/>
      <c r="AA262" s="2"/>
      <c r="AB262" s="2"/>
      <c r="AC262" s="2"/>
      <c r="AD262" s="2"/>
      <c r="AE262" s="2"/>
    </row>
    <row r="263" ht="12.0" customHeight="1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2"/>
      <c r="Z263" s="2"/>
      <c r="AA263" s="2"/>
      <c r="AB263" s="2"/>
      <c r="AC263" s="2"/>
      <c r="AD263" s="2"/>
      <c r="AE263" s="2"/>
    </row>
    <row r="264" ht="12.0" customHeight="1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2"/>
      <c r="Z264" s="2"/>
      <c r="AA264" s="2"/>
      <c r="AB264" s="2"/>
      <c r="AC264" s="2"/>
      <c r="AD264" s="2"/>
      <c r="AE264" s="2"/>
    </row>
    <row r="265" ht="12.0" customHeight="1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2"/>
      <c r="Z265" s="2"/>
      <c r="AA265" s="2"/>
      <c r="AB265" s="2"/>
      <c r="AC265" s="2"/>
      <c r="AD265" s="2"/>
      <c r="AE265" s="2"/>
    </row>
    <row r="266" ht="12.0" customHeight="1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2"/>
      <c r="Z266" s="2"/>
      <c r="AA266" s="2"/>
      <c r="AB266" s="2"/>
      <c r="AC266" s="2"/>
      <c r="AD266" s="2"/>
      <c r="AE266" s="2"/>
    </row>
    <row r="267" ht="12.0" customHeight="1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2"/>
      <c r="Z267" s="2"/>
      <c r="AA267" s="2"/>
      <c r="AB267" s="2"/>
      <c r="AC267" s="2"/>
      <c r="AD267" s="2"/>
      <c r="AE267" s="2"/>
    </row>
    <row r="268" ht="12.0" customHeight="1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2"/>
      <c r="Z268" s="2"/>
      <c r="AA268" s="2"/>
      <c r="AB268" s="2"/>
      <c r="AC268" s="2"/>
      <c r="AD268" s="2"/>
      <c r="AE268" s="2"/>
    </row>
    <row r="269" ht="12.0" customHeight="1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2"/>
      <c r="Z269" s="2"/>
      <c r="AA269" s="2"/>
      <c r="AB269" s="2"/>
      <c r="AC269" s="2"/>
      <c r="AD269" s="2"/>
      <c r="AE269" s="2"/>
    </row>
    <row r="270" ht="12.0" customHeight="1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2"/>
      <c r="Z270" s="2"/>
      <c r="AA270" s="2"/>
      <c r="AB270" s="2"/>
      <c r="AC270" s="2"/>
      <c r="AD270" s="2"/>
      <c r="AE270" s="2"/>
    </row>
    <row r="271" ht="12.0" customHeight="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2"/>
      <c r="Z271" s="2"/>
      <c r="AA271" s="2"/>
      <c r="AB271" s="2"/>
      <c r="AC271" s="2"/>
      <c r="AD271" s="2"/>
      <c r="AE271" s="2"/>
    </row>
    <row r="272" ht="12.0" customHeight="1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2"/>
      <c r="Z272" s="2"/>
      <c r="AA272" s="2"/>
      <c r="AB272" s="2"/>
      <c r="AC272" s="2"/>
      <c r="AD272" s="2"/>
      <c r="AE272" s="2"/>
    </row>
    <row r="273" ht="12.0" customHeight="1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2"/>
      <c r="Z273" s="2"/>
      <c r="AA273" s="2"/>
      <c r="AB273" s="2"/>
      <c r="AC273" s="2"/>
      <c r="AD273" s="2"/>
      <c r="AE273" s="2"/>
    </row>
    <row r="274" ht="12.0" customHeight="1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2"/>
      <c r="Z274" s="2"/>
      <c r="AA274" s="2"/>
      <c r="AB274" s="2"/>
      <c r="AC274" s="2"/>
      <c r="AD274" s="2"/>
      <c r="AE274" s="2"/>
    </row>
    <row r="275" ht="12.0" customHeight="1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2"/>
      <c r="Z275" s="2"/>
      <c r="AA275" s="2"/>
      <c r="AB275" s="2"/>
      <c r="AC275" s="2"/>
      <c r="AD275" s="2"/>
      <c r="AE275" s="2"/>
    </row>
    <row r="276" ht="12.0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2"/>
      <c r="Z276" s="2"/>
      <c r="AA276" s="2"/>
      <c r="AB276" s="2"/>
      <c r="AC276" s="2"/>
      <c r="AD276" s="2"/>
      <c r="AE276" s="2"/>
    </row>
    <row r="277" ht="12.0" customHeight="1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2"/>
      <c r="Z277" s="2"/>
      <c r="AA277" s="2"/>
      <c r="AB277" s="2"/>
      <c r="AC277" s="2"/>
      <c r="AD277" s="2"/>
      <c r="AE277" s="2"/>
    </row>
    <row r="278" ht="12.0" customHeight="1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2"/>
      <c r="Z278" s="2"/>
      <c r="AA278" s="2"/>
      <c r="AB278" s="2"/>
      <c r="AC278" s="2"/>
      <c r="AD278" s="2"/>
      <c r="AE278" s="2"/>
    </row>
    <row r="279" ht="12.0" customHeight="1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2"/>
      <c r="Z279" s="2"/>
      <c r="AA279" s="2"/>
      <c r="AB279" s="2"/>
      <c r="AC279" s="2"/>
      <c r="AD279" s="2"/>
      <c r="AE279" s="2"/>
    </row>
    <row r="280" ht="12.0" customHeight="1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2"/>
      <c r="Z280" s="2"/>
      <c r="AA280" s="2"/>
      <c r="AB280" s="2"/>
      <c r="AC280" s="2"/>
      <c r="AD280" s="2"/>
      <c r="AE280" s="2"/>
    </row>
    <row r="281" ht="12.0" customHeight="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2"/>
      <c r="Z281" s="2"/>
      <c r="AA281" s="2"/>
      <c r="AB281" s="2"/>
      <c r="AC281" s="2"/>
      <c r="AD281" s="2"/>
      <c r="AE281" s="2"/>
    </row>
    <row r="282" ht="12.0" customHeight="1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2"/>
      <c r="Z282" s="2"/>
      <c r="AA282" s="2"/>
      <c r="AB282" s="2"/>
      <c r="AC282" s="2"/>
      <c r="AD282" s="2"/>
      <c r="AE282" s="2"/>
    </row>
    <row r="283" ht="12.0" customHeight="1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2"/>
      <c r="Z283" s="2"/>
      <c r="AA283" s="2"/>
      <c r="AB283" s="2"/>
      <c r="AC283" s="2"/>
      <c r="AD283" s="2"/>
      <c r="AE283" s="2"/>
    </row>
    <row r="284" ht="12.0" customHeight="1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2"/>
      <c r="Z284" s="2"/>
      <c r="AA284" s="2"/>
      <c r="AB284" s="2"/>
      <c r="AC284" s="2"/>
      <c r="AD284" s="2"/>
      <c r="AE284" s="2"/>
    </row>
    <row r="285" ht="12.0" customHeight="1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2"/>
      <c r="Z285" s="2"/>
      <c r="AA285" s="2"/>
      <c r="AB285" s="2"/>
      <c r="AC285" s="2"/>
      <c r="AD285" s="2"/>
      <c r="AE285" s="2"/>
    </row>
    <row r="286" ht="12.0" customHeight="1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2"/>
      <c r="Z286" s="2"/>
      <c r="AA286" s="2"/>
      <c r="AB286" s="2"/>
      <c r="AC286" s="2"/>
      <c r="AD286" s="2"/>
      <c r="AE286" s="2"/>
    </row>
    <row r="287" ht="12.0" customHeight="1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2"/>
      <c r="Z287" s="2"/>
      <c r="AA287" s="2"/>
      <c r="AB287" s="2"/>
      <c r="AC287" s="2"/>
      <c r="AD287" s="2"/>
      <c r="AE287" s="2"/>
    </row>
    <row r="288" ht="12.0" customHeight="1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2"/>
      <c r="Z288" s="2"/>
      <c r="AA288" s="2"/>
      <c r="AB288" s="2"/>
      <c r="AC288" s="2"/>
      <c r="AD288" s="2"/>
      <c r="AE288" s="2"/>
    </row>
    <row r="289" ht="12.0" customHeight="1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2"/>
      <c r="Z289" s="2"/>
      <c r="AA289" s="2"/>
      <c r="AB289" s="2"/>
      <c r="AC289" s="2"/>
      <c r="AD289" s="2"/>
      <c r="AE289" s="2"/>
    </row>
    <row r="290" ht="12.0" customHeight="1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2"/>
      <c r="Z290" s="2"/>
      <c r="AA290" s="2"/>
      <c r="AB290" s="2"/>
      <c r="AC290" s="2"/>
      <c r="AD290" s="2"/>
      <c r="AE290" s="2"/>
    </row>
    <row r="291" ht="12.0" customHeight="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2"/>
      <c r="Z291" s="2"/>
      <c r="AA291" s="2"/>
      <c r="AB291" s="2"/>
      <c r="AC291" s="2"/>
      <c r="AD291" s="2"/>
      <c r="AE291" s="2"/>
    </row>
    <row r="292" ht="12.0" customHeight="1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2"/>
      <c r="Z292" s="2"/>
      <c r="AA292" s="2"/>
      <c r="AB292" s="2"/>
      <c r="AC292" s="2"/>
      <c r="AD292" s="2"/>
      <c r="AE292" s="2"/>
    </row>
    <row r="293" ht="12.0" customHeight="1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2"/>
      <c r="Z293" s="2"/>
      <c r="AA293" s="2"/>
      <c r="AB293" s="2"/>
      <c r="AC293" s="2"/>
      <c r="AD293" s="2"/>
      <c r="AE293" s="2"/>
    </row>
    <row r="294" ht="12.0" customHeight="1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2"/>
      <c r="Z294" s="2"/>
      <c r="AA294" s="2"/>
      <c r="AB294" s="2"/>
      <c r="AC294" s="2"/>
      <c r="AD294" s="2"/>
      <c r="AE294" s="2"/>
    </row>
    <row r="295" ht="12.0" customHeight="1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2"/>
      <c r="Z295" s="2"/>
      <c r="AA295" s="2"/>
      <c r="AB295" s="2"/>
      <c r="AC295" s="2"/>
      <c r="AD295" s="2"/>
      <c r="AE295" s="2"/>
    </row>
    <row r="296" ht="12.0" customHeight="1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2"/>
      <c r="Z296" s="2"/>
      <c r="AA296" s="2"/>
      <c r="AB296" s="2"/>
      <c r="AC296" s="2"/>
      <c r="AD296" s="2"/>
      <c r="AE296" s="2"/>
    </row>
    <row r="297" ht="12.0" customHeight="1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2"/>
      <c r="Z297" s="2"/>
      <c r="AA297" s="2"/>
      <c r="AB297" s="2"/>
      <c r="AC297" s="2"/>
      <c r="AD297" s="2"/>
      <c r="AE297" s="2"/>
    </row>
    <row r="298" ht="12.0" customHeight="1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2"/>
      <c r="Z298" s="2"/>
      <c r="AA298" s="2"/>
      <c r="AB298" s="2"/>
      <c r="AC298" s="2"/>
      <c r="AD298" s="2"/>
      <c r="AE298" s="2"/>
    </row>
    <row r="299" ht="12.0" customHeight="1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2"/>
      <c r="Z299" s="2"/>
      <c r="AA299" s="2"/>
      <c r="AB299" s="2"/>
      <c r="AC299" s="2"/>
      <c r="AD299" s="2"/>
      <c r="AE299" s="2"/>
    </row>
    <row r="300" ht="12.0" customHeight="1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2"/>
      <c r="Z300" s="2"/>
      <c r="AA300" s="2"/>
      <c r="AB300" s="2"/>
      <c r="AC300" s="2"/>
      <c r="AD300" s="2"/>
      <c r="AE300" s="2"/>
    </row>
    <row r="301" ht="12.0" customHeight="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2"/>
      <c r="Z301" s="2"/>
      <c r="AA301" s="2"/>
      <c r="AB301" s="2"/>
      <c r="AC301" s="2"/>
      <c r="AD301" s="2"/>
      <c r="AE301" s="2"/>
    </row>
    <row r="302" ht="12.0" customHeight="1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2"/>
      <c r="Z302" s="2"/>
      <c r="AA302" s="2"/>
      <c r="AB302" s="2"/>
      <c r="AC302" s="2"/>
      <c r="AD302" s="2"/>
      <c r="AE302" s="2"/>
    </row>
    <row r="303" ht="12.0" customHeight="1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2"/>
      <c r="Z303" s="2"/>
      <c r="AA303" s="2"/>
      <c r="AB303" s="2"/>
      <c r="AC303" s="2"/>
      <c r="AD303" s="2"/>
      <c r="AE303" s="2"/>
    </row>
    <row r="304" ht="12.0" customHeight="1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2"/>
      <c r="Z304" s="2"/>
      <c r="AA304" s="2"/>
      <c r="AB304" s="2"/>
      <c r="AC304" s="2"/>
      <c r="AD304" s="2"/>
      <c r="AE304" s="2"/>
    </row>
    <row r="305" ht="12.0" customHeight="1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2"/>
      <c r="Z305" s="2"/>
      <c r="AA305" s="2"/>
      <c r="AB305" s="2"/>
      <c r="AC305" s="2"/>
      <c r="AD305" s="2"/>
      <c r="AE305" s="2"/>
    </row>
    <row r="306" ht="12.0" customHeight="1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2"/>
      <c r="Z306" s="2"/>
      <c r="AA306" s="2"/>
      <c r="AB306" s="2"/>
      <c r="AC306" s="2"/>
      <c r="AD306" s="2"/>
      <c r="AE306" s="2"/>
    </row>
    <row r="307" ht="12.0" customHeight="1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2"/>
      <c r="Z307" s="2"/>
      <c r="AA307" s="2"/>
      <c r="AB307" s="2"/>
      <c r="AC307" s="2"/>
      <c r="AD307" s="2"/>
      <c r="AE307" s="2"/>
    </row>
    <row r="308" ht="12.0" customHeight="1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2"/>
      <c r="Z308" s="2"/>
      <c r="AA308" s="2"/>
      <c r="AB308" s="2"/>
      <c r="AC308" s="2"/>
      <c r="AD308" s="2"/>
      <c r="AE308" s="2"/>
    </row>
    <row r="309" ht="12.0" customHeight="1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2"/>
      <c r="Z309" s="2"/>
      <c r="AA309" s="2"/>
      <c r="AB309" s="2"/>
      <c r="AC309" s="2"/>
      <c r="AD309" s="2"/>
      <c r="AE309" s="2"/>
    </row>
    <row r="310" ht="12.0" customHeight="1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2"/>
      <c r="Z310" s="2"/>
      <c r="AA310" s="2"/>
      <c r="AB310" s="2"/>
      <c r="AC310" s="2"/>
      <c r="AD310" s="2"/>
      <c r="AE310" s="2"/>
    </row>
    <row r="311" ht="12.0" customHeight="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2"/>
      <c r="Z311" s="2"/>
      <c r="AA311" s="2"/>
      <c r="AB311" s="2"/>
      <c r="AC311" s="2"/>
      <c r="AD311" s="2"/>
      <c r="AE311" s="2"/>
    </row>
    <row r="312" ht="12.0" customHeight="1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2"/>
      <c r="Z312" s="2"/>
      <c r="AA312" s="2"/>
      <c r="AB312" s="2"/>
      <c r="AC312" s="2"/>
      <c r="AD312" s="2"/>
      <c r="AE312" s="2"/>
    </row>
    <row r="313" ht="12.0" customHeight="1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2"/>
      <c r="Z313" s="2"/>
      <c r="AA313" s="2"/>
      <c r="AB313" s="2"/>
      <c r="AC313" s="2"/>
      <c r="AD313" s="2"/>
      <c r="AE313" s="2"/>
    </row>
    <row r="314" ht="12.0" customHeight="1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2"/>
      <c r="Z314" s="2"/>
      <c r="AA314" s="2"/>
      <c r="AB314" s="2"/>
      <c r="AC314" s="2"/>
      <c r="AD314" s="2"/>
      <c r="AE314" s="2"/>
    </row>
    <row r="315" ht="12.0" customHeight="1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2"/>
      <c r="Z315" s="2"/>
      <c r="AA315" s="2"/>
      <c r="AB315" s="2"/>
      <c r="AC315" s="2"/>
      <c r="AD315" s="2"/>
      <c r="AE315" s="2"/>
    </row>
    <row r="316" ht="12.0" customHeight="1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2"/>
      <c r="Z316" s="2"/>
      <c r="AA316" s="2"/>
      <c r="AB316" s="2"/>
      <c r="AC316" s="2"/>
      <c r="AD316" s="2"/>
      <c r="AE316" s="2"/>
    </row>
    <row r="317" ht="12.0" customHeight="1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2"/>
      <c r="Z317" s="2"/>
      <c r="AA317" s="2"/>
      <c r="AB317" s="2"/>
      <c r="AC317" s="2"/>
      <c r="AD317" s="2"/>
      <c r="AE317" s="2"/>
    </row>
    <row r="318" ht="12.0" customHeight="1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2"/>
      <c r="Z318" s="2"/>
      <c r="AA318" s="2"/>
      <c r="AB318" s="2"/>
      <c r="AC318" s="2"/>
      <c r="AD318" s="2"/>
      <c r="AE318" s="2"/>
    </row>
    <row r="319" ht="12.0" customHeight="1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2"/>
      <c r="Z319" s="2"/>
      <c r="AA319" s="2"/>
      <c r="AB319" s="2"/>
      <c r="AC319" s="2"/>
      <c r="AD319" s="2"/>
      <c r="AE319" s="2"/>
    </row>
    <row r="320" ht="12.0" customHeight="1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2"/>
      <c r="Z320" s="2"/>
      <c r="AA320" s="2"/>
      <c r="AB320" s="2"/>
      <c r="AC320" s="2"/>
      <c r="AD320" s="2"/>
      <c r="AE320" s="2"/>
    </row>
    <row r="321" ht="12.0" customHeight="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2"/>
      <c r="Z321" s="2"/>
      <c r="AA321" s="2"/>
      <c r="AB321" s="2"/>
      <c r="AC321" s="2"/>
      <c r="AD321" s="2"/>
      <c r="AE321" s="2"/>
    </row>
    <row r="322" ht="12.0" customHeight="1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2"/>
      <c r="Z322" s="2"/>
      <c r="AA322" s="2"/>
      <c r="AB322" s="2"/>
      <c r="AC322" s="2"/>
      <c r="AD322" s="2"/>
      <c r="AE322" s="2"/>
    </row>
    <row r="323" ht="12.0" customHeight="1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2"/>
      <c r="Z323" s="2"/>
      <c r="AA323" s="2"/>
      <c r="AB323" s="2"/>
      <c r="AC323" s="2"/>
      <c r="AD323" s="2"/>
      <c r="AE323" s="2"/>
    </row>
    <row r="324" ht="12.0" customHeight="1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2"/>
      <c r="Z324" s="2"/>
      <c r="AA324" s="2"/>
      <c r="AB324" s="2"/>
      <c r="AC324" s="2"/>
      <c r="AD324" s="2"/>
      <c r="AE324" s="2"/>
    </row>
    <row r="325" ht="12.0" customHeight="1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2"/>
      <c r="Z325" s="2"/>
      <c r="AA325" s="2"/>
      <c r="AB325" s="2"/>
      <c r="AC325" s="2"/>
      <c r="AD325" s="2"/>
      <c r="AE325" s="2"/>
    </row>
    <row r="326" ht="12.0" customHeight="1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2"/>
      <c r="Z326" s="2"/>
      <c r="AA326" s="2"/>
      <c r="AB326" s="2"/>
      <c r="AC326" s="2"/>
      <c r="AD326" s="2"/>
      <c r="AE326" s="2"/>
    </row>
    <row r="327" ht="12.0" customHeight="1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2"/>
      <c r="Z327" s="2"/>
      <c r="AA327" s="2"/>
      <c r="AB327" s="2"/>
      <c r="AC327" s="2"/>
      <c r="AD327" s="2"/>
      <c r="AE327" s="2"/>
    </row>
    <row r="328" ht="12.0" customHeight="1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2"/>
      <c r="Z328" s="2"/>
      <c r="AA328" s="2"/>
      <c r="AB328" s="2"/>
      <c r="AC328" s="2"/>
      <c r="AD328" s="2"/>
      <c r="AE328" s="2"/>
    </row>
    <row r="329" ht="12.0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2"/>
      <c r="Z329" s="2"/>
      <c r="AA329" s="2"/>
      <c r="AB329" s="2"/>
      <c r="AC329" s="2"/>
      <c r="AD329" s="2"/>
      <c r="AE329" s="2"/>
    </row>
    <row r="330" ht="12.0" customHeight="1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2"/>
      <c r="Z330" s="2"/>
      <c r="AA330" s="2"/>
      <c r="AB330" s="2"/>
      <c r="AC330" s="2"/>
      <c r="AD330" s="2"/>
      <c r="AE330" s="2"/>
    </row>
    <row r="331" ht="12.0" customHeight="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2"/>
      <c r="Z331" s="2"/>
      <c r="AA331" s="2"/>
      <c r="AB331" s="2"/>
      <c r="AC331" s="2"/>
      <c r="AD331" s="2"/>
      <c r="AE331" s="2"/>
    </row>
    <row r="332" ht="12.0" customHeight="1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2"/>
      <c r="Z332" s="2"/>
      <c r="AA332" s="2"/>
      <c r="AB332" s="2"/>
      <c r="AC332" s="2"/>
      <c r="AD332" s="2"/>
      <c r="AE332" s="2"/>
    </row>
    <row r="333" ht="12.0" customHeight="1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2"/>
      <c r="Z333" s="2"/>
      <c r="AA333" s="2"/>
      <c r="AB333" s="2"/>
      <c r="AC333" s="2"/>
      <c r="AD333" s="2"/>
      <c r="AE333" s="2"/>
    </row>
    <row r="334" ht="12.0" customHeight="1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2"/>
      <c r="Z334" s="2"/>
      <c r="AA334" s="2"/>
      <c r="AB334" s="2"/>
      <c r="AC334" s="2"/>
      <c r="AD334" s="2"/>
      <c r="AE334" s="2"/>
    </row>
    <row r="335" ht="12.0" customHeight="1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2"/>
      <c r="Z335" s="2"/>
      <c r="AA335" s="2"/>
      <c r="AB335" s="2"/>
      <c r="AC335" s="2"/>
      <c r="AD335" s="2"/>
      <c r="AE335" s="2"/>
    </row>
    <row r="336" ht="12.0" customHeight="1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2"/>
      <c r="Z336" s="2"/>
      <c r="AA336" s="2"/>
      <c r="AB336" s="2"/>
      <c r="AC336" s="2"/>
      <c r="AD336" s="2"/>
      <c r="AE336" s="2"/>
    </row>
    <row r="337" ht="12.0" customHeight="1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2"/>
      <c r="Z337" s="2"/>
      <c r="AA337" s="2"/>
      <c r="AB337" s="2"/>
      <c r="AC337" s="2"/>
      <c r="AD337" s="2"/>
      <c r="AE337" s="2"/>
    </row>
    <row r="338" ht="12.0" customHeight="1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2"/>
      <c r="Z338" s="2"/>
      <c r="AA338" s="2"/>
      <c r="AB338" s="2"/>
      <c r="AC338" s="2"/>
      <c r="AD338" s="2"/>
      <c r="AE338" s="2"/>
    </row>
    <row r="339" ht="12.0" customHeight="1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2"/>
      <c r="Z339" s="2"/>
      <c r="AA339" s="2"/>
      <c r="AB339" s="2"/>
      <c r="AC339" s="2"/>
      <c r="AD339" s="2"/>
      <c r="AE339" s="2"/>
    </row>
    <row r="340" ht="12.0" customHeight="1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2"/>
      <c r="Z340" s="2"/>
      <c r="AA340" s="2"/>
      <c r="AB340" s="2"/>
      <c r="AC340" s="2"/>
      <c r="AD340" s="2"/>
      <c r="AE340" s="2"/>
    </row>
    <row r="341" ht="12.0" customHeight="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2"/>
      <c r="Z341" s="2"/>
      <c r="AA341" s="2"/>
      <c r="AB341" s="2"/>
      <c r="AC341" s="2"/>
      <c r="AD341" s="2"/>
      <c r="AE341" s="2"/>
    </row>
    <row r="342" ht="12.0" customHeight="1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2"/>
      <c r="Z342" s="2"/>
      <c r="AA342" s="2"/>
      <c r="AB342" s="2"/>
      <c r="AC342" s="2"/>
      <c r="AD342" s="2"/>
      <c r="AE342" s="2"/>
    </row>
    <row r="343" ht="12.0" customHeight="1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2"/>
      <c r="Z343" s="2"/>
      <c r="AA343" s="2"/>
      <c r="AB343" s="2"/>
      <c r="AC343" s="2"/>
      <c r="AD343" s="2"/>
      <c r="AE343" s="2"/>
    </row>
    <row r="344" ht="12.0" customHeight="1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2"/>
      <c r="Z344" s="2"/>
      <c r="AA344" s="2"/>
      <c r="AB344" s="2"/>
      <c r="AC344" s="2"/>
      <c r="AD344" s="2"/>
      <c r="AE344" s="2"/>
    </row>
    <row r="345" ht="12.0" customHeight="1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2"/>
      <c r="Z345" s="2"/>
      <c r="AA345" s="2"/>
      <c r="AB345" s="2"/>
      <c r="AC345" s="2"/>
      <c r="AD345" s="2"/>
      <c r="AE345" s="2"/>
    </row>
    <row r="346" ht="12.0" customHeight="1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2"/>
      <c r="Z346" s="2"/>
      <c r="AA346" s="2"/>
      <c r="AB346" s="2"/>
      <c r="AC346" s="2"/>
      <c r="AD346" s="2"/>
      <c r="AE346" s="2"/>
    </row>
    <row r="347" ht="12.0" customHeight="1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2"/>
      <c r="Z347" s="2"/>
      <c r="AA347" s="2"/>
      <c r="AB347" s="2"/>
      <c r="AC347" s="2"/>
      <c r="AD347" s="2"/>
      <c r="AE347" s="2"/>
    </row>
    <row r="348" ht="12.0" customHeight="1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2"/>
      <c r="Z348" s="2"/>
      <c r="AA348" s="2"/>
      <c r="AB348" s="2"/>
      <c r="AC348" s="2"/>
      <c r="AD348" s="2"/>
      <c r="AE348" s="2"/>
    </row>
    <row r="349" ht="12.0" customHeight="1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2"/>
      <c r="Z349" s="2"/>
      <c r="AA349" s="2"/>
      <c r="AB349" s="2"/>
      <c r="AC349" s="2"/>
      <c r="AD349" s="2"/>
      <c r="AE349" s="2"/>
    </row>
    <row r="350" ht="12.0" customHeight="1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2"/>
      <c r="Z350" s="2"/>
      <c r="AA350" s="2"/>
      <c r="AB350" s="2"/>
      <c r="AC350" s="2"/>
      <c r="AD350" s="2"/>
      <c r="AE350" s="2"/>
    </row>
    <row r="351" ht="12.0" customHeight="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2"/>
      <c r="Z351" s="2"/>
      <c r="AA351" s="2"/>
      <c r="AB351" s="2"/>
      <c r="AC351" s="2"/>
      <c r="AD351" s="2"/>
      <c r="AE351" s="2"/>
    </row>
    <row r="352" ht="12.0" customHeight="1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2"/>
      <c r="Z352" s="2"/>
      <c r="AA352" s="2"/>
      <c r="AB352" s="2"/>
      <c r="AC352" s="2"/>
      <c r="AD352" s="2"/>
      <c r="AE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24">
    <mergeCell ref="B2:M2"/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  <mergeCell ref="F5:M5"/>
    <mergeCell ref="C145:G145"/>
    <mergeCell ref="H145:I145"/>
    <mergeCell ref="J145:K145"/>
    <mergeCell ref="B5:E5"/>
    <mergeCell ref="B6:E23"/>
    <mergeCell ref="F6:M23"/>
    <mergeCell ref="B24:M24"/>
    <mergeCell ref="B25:M46"/>
    <mergeCell ref="B47:M47"/>
    <mergeCell ref="B48:M48"/>
  </mergeCells>
  <printOptions/>
  <pageMargins bottom="0.75" footer="0.0" header="0.0" left="0.7" right="0.7" top="0.75"/>
  <pageSetup paperSize="9" orientation="portrait"/>
  <drawing r:id="rId1"/>
</worksheet>
</file>